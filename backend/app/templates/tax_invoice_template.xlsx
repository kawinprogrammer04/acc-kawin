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KB\ใบกำกับภาษี\ปี2026\เดือน7\"/>
    </mc:Choice>
  </mc:AlternateContent>
  <xr:revisionPtr revIDLastSave="0" documentId="13_ncr:1_{6891DE6C-C794-4F22-8E7B-B7DB6808E382}" xr6:coauthVersionLast="47" xr6:coauthVersionMax="47" xr10:uidLastSave="{00000000-0000-0000-0000-000000000000}"/>
  <bookViews>
    <workbookView xWindow="-108" yWindow="-108" windowWidth="23256" windowHeight="13896" xr2:uid="{7A0FA8CF-39E1-41BA-A937-864B43479E15}"/>
  </bookViews>
  <sheets>
    <sheet name="1" sheetId="1" r:id="rId1"/>
  </sheets>
  <definedNames>
    <definedName name="_xlnm.Print_Area" localSheetId="0">'1'!$B$2:$U$54,'1'!$W$2:$AP$54,'1'!$AR$2:$BK$54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8" i="1" l="1"/>
  <c r="C43" i="1" s="1"/>
  <c r="AO46" i="1"/>
  <c r="AO44" i="1"/>
  <c r="AI48" i="1"/>
  <c r="AN46" i="1"/>
  <c r="AI46" i="1"/>
  <c r="AI44" i="1"/>
  <c r="T29" i="1"/>
  <c r="BJ46" i="1"/>
  <c r="AS45" i="1"/>
  <c r="X45" i="1"/>
  <c r="W45" i="1"/>
  <c r="AR45" i="1" s="1"/>
  <c r="BI44" i="1"/>
  <c r="AP41" i="1"/>
  <c r="BK41" i="1" s="1"/>
  <c r="AN41" i="1"/>
  <c r="BI41" i="1" s="1"/>
  <c r="AM41" i="1"/>
  <c r="BH41" i="1" s="1"/>
  <c r="AL41" i="1"/>
  <c r="BG41" i="1" s="1"/>
  <c r="AK41" i="1"/>
  <c r="BF41" i="1" s="1"/>
  <c r="AJ41" i="1"/>
  <c r="BE41" i="1" s="1"/>
  <c r="AI41" i="1"/>
  <c r="BD41" i="1" s="1"/>
  <c r="AH41" i="1"/>
  <c r="BC41" i="1" s="1"/>
  <c r="AG41" i="1"/>
  <c r="BB41" i="1" s="1"/>
  <c r="AF41" i="1"/>
  <c r="BA41" i="1" s="1"/>
  <c r="AE41" i="1"/>
  <c r="AZ41" i="1" s="1"/>
  <c r="AD41" i="1"/>
  <c r="AY41" i="1" s="1"/>
  <c r="AC41" i="1"/>
  <c r="AX41" i="1" s="1"/>
  <c r="AB41" i="1"/>
  <c r="AW41" i="1" s="1"/>
  <c r="AA41" i="1"/>
  <c r="AV41" i="1" s="1"/>
  <c r="Z41" i="1"/>
  <c r="AU41" i="1" s="1"/>
  <c r="Y41" i="1"/>
  <c r="AT41" i="1" s="1"/>
  <c r="X41" i="1"/>
  <c r="AS41" i="1" s="1"/>
  <c r="W41" i="1"/>
  <c r="AR41" i="1" s="1"/>
  <c r="T41" i="1"/>
  <c r="AO41" i="1" s="1"/>
  <c r="BJ41" i="1" s="1"/>
  <c r="BI40" i="1"/>
  <c r="BH40" i="1"/>
  <c r="BF40" i="1"/>
  <c r="AP40" i="1"/>
  <c r="BK40" i="1" s="1"/>
  <c r="AN40" i="1"/>
  <c r="AM40" i="1"/>
  <c r="AL40" i="1"/>
  <c r="BG40" i="1" s="1"/>
  <c r="AK40" i="1"/>
  <c r="AJ40" i="1"/>
  <c r="BE40" i="1" s="1"/>
  <c r="AI40" i="1"/>
  <c r="BD40" i="1" s="1"/>
  <c r="AH40" i="1"/>
  <c r="BC40" i="1" s="1"/>
  <c r="AG40" i="1"/>
  <c r="BB40" i="1" s="1"/>
  <c r="AF40" i="1"/>
  <c r="BA40" i="1" s="1"/>
  <c r="AE40" i="1"/>
  <c r="AZ40" i="1" s="1"/>
  <c r="AD40" i="1"/>
  <c r="AY40" i="1" s="1"/>
  <c r="AC40" i="1"/>
  <c r="AX40" i="1" s="1"/>
  <c r="AB40" i="1"/>
  <c r="AW40" i="1" s="1"/>
  <c r="AA40" i="1"/>
  <c r="AV40" i="1" s="1"/>
  <c r="Z40" i="1"/>
  <c r="AU40" i="1" s="1"/>
  <c r="Y40" i="1"/>
  <c r="AT40" i="1" s="1"/>
  <c r="X40" i="1"/>
  <c r="AS40" i="1" s="1"/>
  <c r="W40" i="1"/>
  <c r="AR40" i="1" s="1"/>
  <c r="T40" i="1"/>
  <c r="AO40" i="1" s="1"/>
  <c r="BJ40" i="1" s="1"/>
  <c r="BI39" i="1"/>
  <c r="BH39" i="1"/>
  <c r="AP39" i="1"/>
  <c r="BK39" i="1" s="1"/>
  <c r="AN39" i="1"/>
  <c r="AM39" i="1"/>
  <c r="AL39" i="1"/>
  <c r="BG39" i="1" s="1"/>
  <c r="AK39" i="1"/>
  <c r="BF39" i="1" s="1"/>
  <c r="AJ39" i="1"/>
  <c r="BE39" i="1" s="1"/>
  <c r="AI39" i="1"/>
  <c r="BD39" i="1" s="1"/>
  <c r="AH39" i="1"/>
  <c r="BC39" i="1" s="1"/>
  <c r="AG39" i="1"/>
  <c r="BB39" i="1" s="1"/>
  <c r="AF39" i="1"/>
  <c r="BA39" i="1" s="1"/>
  <c r="AE39" i="1"/>
  <c r="AZ39" i="1" s="1"/>
  <c r="AD39" i="1"/>
  <c r="AY39" i="1" s="1"/>
  <c r="AC39" i="1"/>
  <c r="AX39" i="1" s="1"/>
  <c r="AB39" i="1"/>
  <c r="AW39" i="1" s="1"/>
  <c r="AA39" i="1"/>
  <c r="AV39" i="1" s="1"/>
  <c r="Z39" i="1"/>
  <c r="AU39" i="1" s="1"/>
  <c r="Y39" i="1"/>
  <c r="AT39" i="1" s="1"/>
  <c r="X39" i="1"/>
  <c r="AS39" i="1" s="1"/>
  <c r="W39" i="1"/>
  <c r="AR39" i="1" s="1"/>
  <c r="T39" i="1"/>
  <c r="AO39" i="1" s="1"/>
  <c r="BJ39" i="1" s="1"/>
  <c r="BK38" i="1"/>
  <c r="AP38" i="1"/>
  <c r="AN38" i="1"/>
  <c r="BI38" i="1" s="1"/>
  <c r="AM38" i="1"/>
  <c r="BH38" i="1" s="1"/>
  <c r="AL38" i="1"/>
  <c r="BG38" i="1" s="1"/>
  <c r="AK38" i="1"/>
  <c r="BF38" i="1" s="1"/>
  <c r="AJ38" i="1"/>
  <c r="BE38" i="1" s="1"/>
  <c r="AI38" i="1"/>
  <c r="BD38" i="1" s="1"/>
  <c r="AH38" i="1"/>
  <c r="BC38" i="1" s="1"/>
  <c r="AG38" i="1"/>
  <c r="BB38" i="1" s="1"/>
  <c r="AF38" i="1"/>
  <c r="BA38" i="1" s="1"/>
  <c r="AE38" i="1"/>
  <c r="AZ38" i="1" s="1"/>
  <c r="AD38" i="1"/>
  <c r="AY38" i="1" s="1"/>
  <c r="AC38" i="1"/>
  <c r="AX38" i="1" s="1"/>
  <c r="AB38" i="1"/>
  <c r="AW38" i="1" s="1"/>
  <c r="AA38" i="1"/>
  <c r="AV38" i="1" s="1"/>
  <c r="Z38" i="1"/>
  <c r="AU38" i="1" s="1"/>
  <c r="Y38" i="1"/>
  <c r="AT38" i="1" s="1"/>
  <c r="X38" i="1"/>
  <c r="AS38" i="1" s="1"/>
  <c r="W38" i="1"/>
  <c r="AR38" i="1" s="1"/>
  <c r="T38" i="1"/>
  <c r="AO38" i="1" s="1"/>
  <c r="BJ38" i="1" s="1"/>
  <c r="BK37" i="1"/>
  <c r="BE37" i="1"/>
  <c r="BD37" i="1"/>
  <c r="AP37" i="1"/>
  <c r="AN37" i="1"/>
  <c r="BI37" i="1" s="1"/>
  <c r="AM37" i="1"/>
  <c r="BH37" i="1" s="1"/>
  <c r="AL37" i="1"/>
  <c r="BG37" i="1" s="1"/>
  <c r="AK37" i="1"/>
  <c r="BF37" i="1" s="1"/>
  <c r="AJ37" i="1"/>
  <c r="AI37" i="1"/>
  <c r="AH37" i="1"/>
  <c r="BC37" i="1" s="1"/>
  <c r="AG37" i="1"/>
  <c r="BB37" i="1" s="1"/>
  <c r="AF37" i="1"/>
  <c r="BA37" i="1" s="1"/>
  <c r="AE37" i="1"/>
  <c r="AZ37" i="1" s="1"/>
  <c r="AD37" i="1"/>
  <c r="AY37" i="1" s="1"/>
  <c r="AC37" i="1"/>
  <c r="AX37" i="1" s="1"/>
  <c r="AB37" i="1"/>
  <c r="AW37" i="1" s="1"/>
  <c r="AA37" i="1"/>
  <c r="AV37" i="1" s="1"/>
  <c r="Z37" i="1"/>
  <c r="AU37" i="1" s="1"/>
  <c r="Y37" i="1"/>
  <c r="AT37" i="1" s="1"/>
  <c r="X37" i="1"/>
  <c r="AS37" i="1" s="1"/>
  <c r="W37" i="1"/>
  <c r="AR37" i="1" s="1"/>
  <c r="T37" i="1"/>
  <c r="AO37" i="1" s="1"/>
  <c r="BJ37" i="1" s="1"/>
  <c r="BD36" i="1"/>
  <c r="BC36" i="1"/>
  <c r="BB36" i="1"/>
  <c r="BA36" i="1"/>
  <c r="AP36" i="1"/>
  <c r="BK36" i="1" s="1"/>
  <c r="AN36" i="1"/>
  <c r="BI36" i="1" s="1"/>
  <c r="AM36" i="1"/>
  <c r="BH36" i="1" s="1"/>
  <c r="AL36" i="1"/>
  <c r="BG36" i="1" s="1"/>
  <c r="AK36" i="1"/>
  <c r="BF36" i="1" s="1"/>
  <c r="AJ36" i="1"/>
  <c r="BE36" i="1" s="1"/>
  <c r="AI36" i="1"/>
  <c r="AH36" i="1"/>
  <c r="AG36" i="1"/>
  <c r="AF36" i="1"/>
  <c r="AE36" i="1"/>
  <c r="AZ36" i="1" s="1"/>
  <c r="AD36" i="1"/>
  <c r="AY36" i="1" s="1"/>
  <c r="AC36" i="1"/>
  <c r="AX36" i="1" s="1"/>
  <c r="AB36" i="1"/>
  <c r="AW36" i="1" s="1"/>
  <c r="AA36" i="1"/>
  <c r="AV36" i="1" s="1"/>
  <c r="Z36" i="1"/>
  <c r="AU36" i="1" s="1"/>
  <c r="Y36" i="1"/>
  <c r="AT36" i="1" s="1"/>
  <c r="X36" i="1"/>
  <c r="AS36" i="1" s="1"/>
  <c r="W36" i="1"/>
  <c r="AR36" i="1" s="1"/>
  <c r="T36" i="1"/>
  <c r="AO36" i="1" s="1"/>
  <c r="BJ36" i="1" s="1"/>
  <c r="BK35" i="1"/>
  <c r="BG35" i="1"/>
  <c r="BC35" i="1"/>
  <c r="AU35" i="1"/>
  <c r="AP35" i="1"/>
  <c r="AN35" i="1"/>
  <c r="BI35" i="1" s="1"/>
  <c r="AM35" i="1"/>
  <c r="BH35" i="1" s="1"/>
  <c r="AL35" i="1"/>
  <c r="AK35" i="1"/>
  <c r="BF35" i="1" s="1"/>
  <c r="AJ35" i="1"/>
  <c r="BE35" i="1" s="1"/>
  <c r="AI35" i="1"/>
  <c r="BD35" i="1" s="1"/>
  <c r="AH35" i="1"/>
  <c r="AG35" i="1"/>
  <c r="BB35" i="1" s="1"/>
  <c r="AF35" i="1"/>
  <c r="BA35" i="1" s="1"/>
  <c r="AE35" i="1"/>
  <c r="AZ35" i="1" s="1"/>
  <c r="AD35" i="1"/>
  <c r="AY35" i="1" s="1"/>
  <c r="AC35" i="1"/>
  <c r="AX35" i="1" s="1"/>
  <c r="AB35" i="1"/>
  <c r="AW35" i="1" s="1"/>
  <c r="AA35" i="1"/>
  <c r="AV35" i="1" s="1"/>
  <c r="Y35" i="1"/>
  <c r="AT35" i="1" s="1"/>
  <c r="X35" i="1"/>
  <c r="AS35" i="1" s="1"/>
  <c r="W35" i="1"/>
  <c r="AR35" i="1" s="1"/>
  <c r="T35" i="1"/>
  <c r="AO35" i="1" s="1"/>
  <c r="BJ35" i="1" s="1"/>
  <c r="BI34" i="1"/>
  <c r="BG34" i="1"/>
  <c r="BF34" i="1"/>
  <c r="BE34" i="1"/>
  <c r="AP34" i="1"/>
  <c r="BK34" i="1" s="1"/>
  <c r="AN34" i="1"/>
  <c r="AM34" i="1"/>
  <c r="BH34" i="1" s="1"/>
  <c r="AL34" i="1"/>
  <c r="AK34" i="1"/>
  <c r="AJ34" i="1"/>
  <c r="AI34" i="1"/>
  <c r="BD34" i="1" s="1"/>
  <c r="AH34" i="1"/>
  <c r="BC34" i="1" s="1"/>
  <c r="AG34" i="1"/>
  <c r="BB34" i="1" s="1"/>
  <c r="AF34" i="1"/>
  <c r="BA34" i="1" s="1"/>
  <c r="AE34" i="1"/>
  <c r="AZ34" i="1" s="1"/>
  <c r="AD34" i="1"/>
  <c r="AY34" i="1" s="1"/>
  <c r="AC34" i="1"/>
  <c r="AX34" i="1" s="1"/>
  <c r="AB34" i="1"/>
  <c r="AW34" i="1" s="1"/>
  <c r="AA34" i="1"/>
  <c r="AV34" i="1" s="1"/>
  <c r="Z34" i="1"/>
  <c r="AU34" i="1" s="1"/>
  <c r="Y34" i="1"/>
  <c r="AT34" i="1" s="1"/>
  <c r="X34" i="1"/>
  <c r="AS34" i="1" s="1"/>
  <c r="W34" i="1"/>
  <c r="AR34" i="1" s="1"/>
  <c r="T34" i="1"/>
  <c r="AO34" i="1" s="1"/>
  <c r="BJ34" i="1" s="1"/>
  <c r="BI33" i="1"/>
  <c r="BH33" i="1"/>
  <c r="BG33" i="1"/>
  <c r="BE33" i="1"/>
  <c r="BB33" i="1"/>
  <c r="AP33" i="1"/>
  <c r="BK33" i="1" s="1"/>
  <c r="AN33" i="1"/>
  <c r="AM33" i="1"/>
  <c r="AL33" i="1"/>
  <c r="AK33" i="1"/>
  <c r="BF33" i="1" s="1"/>
  <c r="AJ33" i="1"/>
  <c r="AI33" i="1"/>
  <c r="BD33" i="1" s="1"/>
  <c r="AH33" i="1"/>
  <c r="BC33" i="1" s="1"/>
  <c r="AG33" i="1"/>
  <c r="AF33" i="1"/>
  <c r="BA33" i="1" s="1"/>
  <c r="AE33" i="1"/>
  <c r="AZ33" i="1" s="1"/>
  <c r="AD33" i="1"/>
  <c r="AY33" i="1" s="1"/>
  <c r="AC33" i="1"/>
  <c r="AX33" i="1" s="1"/>
  <c r="AB33" i="1"/>
  <c r="AW33" i="1" s="1"/>
  <c r="AA33" i="1"/>
  <c r="AV33" i="1" s="1"/>
  <c r="Z33" i="1"/>
  <c r="AU33" i="1" s="1"/>
  <c r="Y33" i="1"/>
  <c r="AT33" i="1" s="1"/>
  <c r="X33" i="1"/>
  <c r="AS33" i="1" s="1"/>
  <c r="W33" i="1"/>
  <c r="AR33" i="1" s="1"/>
  <c r="T33" i="1"/>
  <c r="AO33" i="1" s="1"/>
  <c r="BJ33" i="1" s="1"/>
  <c r="BK32" i="1"/>
  <c r="BI32" i="1"/>
  <c r="BH32" i="1"/>
  <c r="BE32" i="1"/>
  <c r="AP32" i="1"/>
  <c r="AN32" i="1"/>
  <c r="AM32" i="1"/>
  <c r="AL32" i="1"/>
  <c r="BG32" i="1" s="1"/>
  <c r="AK32" i="1"/>
  <c r="BF32" i="1" s="1"/>
  <c r="AJ32" i="1"/>
  <c r="AI32" i="1"/>
  <c r="BD32" i="1" s="1"/>
  <c r="AH32" i="1"/>
  <c r="BC32" i="1" s="1"/>
  <c r="AG32" i="1"/>
  <c r="BB32" i="1" s="1"/>
  <c r="AF32" i="1"/>
  <c r="BA32" i="1" s="1"/>
  <c r="AE32" i="1"/>
  <c r="AZ32" i="1" s="1"/>
  <c r="AD32" i="1"/>
  <c r="AY32" i="1" s="1"/>
  <c r="AC32" i="1"/>
  <c r="AX32" i="1" s="1"/>
  <c r="AB32" i="1"/>
  <c r="AW32" i="1" s="1"/>
  <c r="AA32" i="1"/>
  <c r="AV32" i="1" s="1"/>
  <c r="Z32" i="1"/>
  <c r="AU32" i="1" s="1"/>
  <c r="Y32" i="1"/>
  <c r="AT32" i="1" s="1"/>
  <c r="X32" i="1"/>
  <c r="AS32" i="1" s="1"/>
  <c r="W32" i="1"/>
  <c r="AR32" i="1" s="1"/>
  <c r="T32" i="1"/>
  <c r="AO32" i="1" s="1"/>
  <c r="BJ32" i="1" s="1"/>
  <c r="BK31" i="1"/>
  <c r="BD31" i="1"/>
  <c r="AP31" i="1"/>
  <c r="AN31" i="1"/>
  <c r="BI31" i="1" s="1"/>
  <c r="AM31" i="1"/>
  <c r="BH31" i="1" s="1"/>
  <c r="AL31" i="1"/>
  <c r="BG31" i="1" s="1"/>
  <c r="AK31" i="1"/>
  <c r="BF31" i="1" s="1"/>
  <c r="AJ31" i="1"/>
  <c r="BE31" i="1" s="1"/>
  <c r="AI31" i="1"/>
  <c r="AH31" i="1"/>
  <c r="BC31" i="1" s="1"/>
  <c r="AG31" i="1"/>
  <c r="BB31" i="1" s="1"/>
  <c r="AF31" i="1"/>
  <c r="BA31" i="1" s="1"/>
  <c r="AE31" i="1"/>
  <c r="AZ31" i="1" s="1"/>
  <c r="AD31" i="1"/>
  <c r="AY31" i="1" s="1"/>
  <c r="AC31" i="1"/>
  <c r="AX31" i="1" s="1"/>
  <c r="AB31" i="1"/>
  <c r="AW31" i="1" s="1"/>
  <c r="AA31" i="1"/>
  <c r="AV31" i="1" s="1"/>
  <c r="Z31" i="1"/>
  <c r="AU31" i="1" s="1"/>
  <c r="Y31" i="1"/>
  <c r="AT31" i="1" s="1"/>
  <c r="X31" i="1"/>
  <c r="AS31" i="1" s="1"/>
  <c r="W31" i="1"/>
  <c r="AR31" i="1" s="1"/>
  <c r="T31" i="1"/>
  <c r="AO31" i="1" s="1"/>
  <c r="BJ31" i="1" s="1"/>
  <c r="BK30" i="1"/>
  <c r="BH30" i="1"/>
  <c r="BG30" i="1"/>
  <c r="AR30" i="1"/>
  <c r="AP30" i="1"/>
  <c r="AO30" i="1"/>
  <c r="BJ30" i="1" s="1"/>
  <c r="AN30" i="1"/>
  <c r="BI30" i="1" s="1"/>
  <c r="AM30" i="1"/>
  <c r="AL30" i="1"/>
  <c r="AK30" i="1"/>
  <c r="BF30" i="1" s="1"/>
  <c r="AJ30" i="1"/>
  <c r="BE30" i="1" s="1"/>
  <c r="AI30" i="1"/>
  <c r="BD30" i="1" s="1"/>
  <c r="AH30" i="1"/>
  <c r="BC30" i="1" s="1"/>
  <c r="AG30" i="1"/>
  <c r="BB30" i="1" s="1"/>
  <c r="AF30" i="1"/>
  <c r="BA30" i="1" s="1"/>
  <c r="AE30" i="1"/>
  <c r="AZ30" i="1" s="1"/>
  <c r="AD30" i="1"/>
  <c r="AY30" i="1" s="1"/>
  <c r="AC30" i="1"/>
  <c r="AX30" i="1" s="1"/>
  <c r="AB30" i="1"/>
  <c r="AW30" i="1" s="1"/>
  <c r="AA30" i="1"/>
  <c r="AV30" i="1" s="1"/>
  <c r="Z30" i="1"/>
  <c r="AU30" i="1" s="1"/>
  <c r="Y30" i="1"/>
  <c r="AT30" i="1" s="1"/>
  <c r="X30" i="1"/>
  <c r="AS30" i="1" s="1"/>
  <c r="W30" i="1"/>
  <c r="T30" i="1"/>
  <c r="BF29" i="1"/>
  <c r="AP29" i="1"/>
  <c r="BK29" i="1" s="1"/>
  <c r="AO29" i="1"/>
  <c r="BJ29" i="1" s="1"/>
  <c r="AN29" i="1"/>
  <c r="BI29" i="1" s="1"/>
  <c r="AM29" i="1"/>
  <c r="BH29" i="1" s="1"/>
  <c r="AL29" i="1"/>
  <c r="BG29" i="1" s="1"/>
  <c r="AK29" i="1"/>
  <c r="AJ29" i="1"/>
  <c r="BE29" i="1" s="1"/>
  <c r="AI29" i="1"/>
  <c r="BD29" i="1" s="1"/>
  <c r="AH29" i="1"/>
  <c r="BC29" i="1" s="1"/>
  <c r="AG29" i="1"/>
  <c r="BB29" i="1" s="1"/>
  <c r="AF29" i="1"/>
  <c r="BA29" i="1" s="1"/>
  <c r="AE29" i="1"/>
  <c r="AZ29" i="1" s="1"/>
  <c r="AD29" i="1"/>
  <c r="AY29" i="1" s="1"/>
  <c r="AC29" i="1"/>
  <c r="AX29" i="1" s="1"/>
  <c r="AB29" i="1"/>
  <c r="AW29" i="1" s="1"/>
  <c r="AA29" i="1"/>
  <c r="AV29" i="1" s="1"/>
  <c r="Z29" i="1"/>
  <c r="AU29" i="1" s="1"/>
  <c r="Y29" i="1"/>
  <c r="AT29" i="1" s="1"/>
  <c r="X29" i="1"/>
  <c r="AS29" i="1" s="1"/>
  <c r="W29" i="1"/>
  <c r="AR29" i="1" s="1"/>
  <c r="BH28" i="1"/>
  <c r="BE28" i="1"/>
  <c r="BD28" i="1"/>
  <c r="BC28" i="1"/>
  <c r="AR28" i="1"/>
  <c r="AP28" i="1"/>
  <c r="BK28" i="1" s="1"/>
  <c r="AN28" i="1"/>
  <c r="BI28" i="1" s="1"/>
  <c r="AM28" i="1"/>
  <c r="AL28" i="1"/>
  <c r="BG28" i="1" s="1"/>
  <c r="AK28" i="1"/>
  <c r="BF28" i="1" s="1"/>
  <c r="AJ28" i="1"/>
  <c r="AI28" i="1"/>
  <c r="AH28" i="1"/>
  <c r="AG28" i="1"/>
  <c r="BB28" i="1" s="1"/>
  <c r="AF28" i="1"/>
  <c r="BA28" i="1" s="1"/>
  <c r="AE28" i="1"/>
  <c r="AZ28" i="1" s="1"/>
  <c r="AD28" i="1"/>
  <c r="AY28" i="1" s="1"/>
  <c r="AC28" i="1"/>
  <c r="AX28" i="1" s="1"/>
  <c r="AB28" i="1"/>
  <c r="AW28" i="1" s="1"/>
  <c r="AA28" i="1"/>
  <c r="AV28" i="1" s="1"/>
  <c r="Z28" i="1"/>
  <c r="AU28" i="1" s="1"/>
  <c r="Y28" i="1"/>
  <c r="AT28" i="1" s="1"/>
  <c r="X28" i="1"/>
  <c r="AS28" i="1" s="1"/>
  <c r="W28" i="1"/>
  <c r="T28" i="1"/>
  <c r="AO28" i="1" s="1"/>
  <c r="BJ28" i="1" s="1"/>
  <c r="BE27" i="1"/>
  <c r="BD27" i="1"/>
  <c r="BC27" i="1"/>
  <c r="BB27" i="1"/>
  <c r="BA27" i="1"/>
  <c r="AP27" i="1"/>
  <c r="BK27" i="1" s="1"/>
  <c r="AN27" i="1"/>
  <c r="BI27" i="1" s="1"/>
  <c r="AM27" i="1"/>
  <c r="BH27" i="1" s="1"/>
  <c r="AL27" i="1"/>
  <c r="BG27" i="1" s="1"/>
  <c r="AK27" i="1"/>
  <c r="BF27" i="1" s="1"/>
  <c r="AJ27" i="1"/>
  <c r="AI27" i="1"/>
  <c r="AH27" i="1"/>
  <c r="AG27" i="1"/>
  <c r="AF27" i="1"/>
  <c r="AE27" i="1"/>
  <c r="AZ27" i="1" s="1"/>
  <c r="AD27" i="1"/>
  <c r="AY27" i="1" s="1"/>
  <c r="AC27" i="1"/>
  <c r="AX27" i="1" s="1"/>
  <c r="AB27" i="1"/>
  <c r="AW27" i="1" s="1"/>
  <c r="AA27" i="1"/>
  <c r="AV27" i="1" s="1"/>
  <c r="Z27" i="1"/>
  <c r="AU27" i="1" s="1"/>
  <c r="Y27" i="1"/>
  <c r="AT27" i="1" s="1"/>
  <c r="X27" i="1"/>
  <c r="AS27" i="1" s="1"/>
  <c r="W27" i="1"/>
  <c r="AR27" i="1" s="1"/>
  <c r="T27" i="1"/>
  <c r="AO27" i="1" s="1"/>
  <c r="BJ27" i="1" s="1"/>
  <c r="BC26" i="1"/>
  <c r="AZ26" i="1"/>
  <c r="AP26" i="1"/>
  <c r="BK26" i="1" s="1"/>
  <c r="AN26" i="1"/>
  <c r="BI26" i="1" s="1"/>
  <c r="AM26" i="1"/>
  <c r="BH26" i="1" s="1"/>
  <c r="AL26" i="1"/>
  <c r="BG26" i="1" s="1"/>
  <c r="AK26" i="1"/>
  <c r="BF26" i="1" s="1"/>
  <c r="AJ26" i="1"/>
  <c r="BE26" i="1" s="1"/>
  <c r="AI26" i="1"/>
  <c r="BD26" i="1" s="1"/>
  <c r="AH26" i="1"/>
  <c r="AG26" i="1"/>
  <c r="BB26" i="1" s="1"/>
  <c r="AF26" i="1"/>
  <c r="BA26" i="1" s="1"/>
  <c r="AE26" i="1"/>
  <c r="AD26" i="1"/>
  <c r="AY26" i="1" s="1"/>
  <c r="AC26" i="1"/>
  <c r="AX26" i="1" s="1"/>
  <c r="AB26" i="1"/>
  <c r="AW26" i="1" s="1"/>
  <c r="AA26" i="1"/>
  <c r="AV26" i="1" s="1"/>
  <c r="Z26" i="1"/>
  <c r="AU26" i="1" s="1"/>
  <c r="Y26" i="1"/>
  <c r="AT26" i="1" s="1"/>
  <c r="X26" i="1"/>
  <c r="AS26" i="1" s="1"/>
  <c r="W26" i="1"/>
  <c r="AR26" i="1" s="1"/>
  <c r="T26" i="1"/>
  <c r="AO26" i="1" s="1"/>
  <c r="BJ26" i="1" s="1"/>
  <c r="BI25" i="1"/>
  <c r="BF25" i="1"/>
  <c r="BE25" i="1"/>
  <c r="AZ25" i="1"/>
  <c r="AY25" i="1"/>
  <c r="AX25" i="1"/>
  <c r="AP25" i="1"/>
  <c r="BK25" i="1" s="1"/>
  <c r="AN25" i="1"/>
  <c r="AM25" i="1"/>
  <c r="BH25" i="1" s="1"/>
  <c r="AL25" i="1"/>
  <c r="BG25" i="1" s="1"/>
  <c r="AK25" i="1"/>
  <c r="AJ25" i="1"/>
  <c r="AI25" i="1"/>
  <c r="BD25" i="1" s="1"/>
  <c r="AH25" i="1"/>
  <c r="BC25" i="1" s="1"/>
  <c r="AG25" i="1"/>
  <c r="BB25" i="1" s="1"/>
  <c r="AF25" i="1"/>
  <c r="BA25" i="1" s="1"/>
  <c r="AE25" i="1"/>
  <c r="AD25" i="1"/>
  <c r="AC25" i="1"/>
  <c r="AB25" i="1"/>
  <c r="AW25" i="1" s="1"/>
  <c r="AA25" i="1"/>
  <c r="AV25" i="1" s="1"/>
  <c r="Z25" i="1"/>
  <c r="AU25" i="1" s="1"/>
  <c r="Y25" i="1"/>
  <c r="AT25" i="1" s="1"/>
  <c r="X25" i="1"/>
  <c r="AS25" i="1" s="1"/>
  <c r="W25" i="1"/>
  <c r="AR25" i="1" s="1"/>
  <c r="T25" i="1"/>
  <c r="AO25" i="1" s="1"/>
  <c r="BJ25" i="1" s="1"/>
  <c r="BI24" i="1"/>
  <c r="BH24" i="1"/>
  <c r="BE24" i="1"/>
  <c r="BB24" i="1"/>
  <c r="AV24" i="1"/>
  <c r="AP24" i="1"/>
  <c r="BK24" i="1" s="1"/>
  <c r="AN24" i="1"/>
  <c r="AM24" i="1"/>
  <c r="AL24" i="1"/>
  <c r="BG24" i="1" s="1"/>
  <c r="AK24" i="1"/>
  <c r="BF24" i="1" s="1"/>
  <c r="AJ24" i="1"/>
  <c r="AI24" i="1"/>
  <c r="BD24" i="1" s="1"/>
  <c r="AH24" i="1"/>
  <c r="BC24" i="1" s="1"/>
  <c r="AG24" i="1"/>
  <c r="AF24" i="1"/>
  <c r="BA24" i="1" s="1"/>
  <c r="AE24" i="1"/>
  <c r="AZ24" i="1" s="1"/>
  <c r="AD24" i="1"/>
  <c r="AY24" i="1" s="1"/>
  <c r="AC24" i="1"/>
  <c r="AX24" i="1" s="1"/>
  <c r="AB24" i="1"/>
  <c r="AW24" i="1" s="1"/>
  <c r="AA24" i="1"/>
  <c r="Z24" i="1"/>
  <c r="AU24" i="1" s="1"/>
  <c r="Y24" i="1"/>
  <c r="AT24" i="1" s="1"/>
  <c r="X24" i="1"/>
  <c r="AS24" i="1" s="1"/>
  <c r="W24" i="1"/>
  <c r="AR24" i="1" s="1"/>
  <c r="T24" i="1"/>
  <c r="AO24" i="1" s="1"/>
  <c r="BJ24" i="1" s="1"/>
  <c r="BK23" i="1"/>
  <c r="BI23" i="1"/>
  <c r="BH23" i="1"/>
  <c r="BF23" i="1"/>
  <c r="BE23" i="1"/>
  <c r="BB23" i="1"/>
  <c r="BA23" i="1"/>
  <c r="AP23" i="1"/>
  <c r="AN23" i="1"/>
  <c r="AM23" i="1"/>
  <c r="AL23" i="1"/>
  <c r="BG23" i="1" s="1"/>
  <c r="AK23" i="1"/>
  <c r="AJ23" i="1"/>
  <c r="AI23" i="1"/>
  <c r="BD23" i="1" s="1"/>
  <c r="AH23" i="1"/>
  <c r="BC23" i="1" s="1"/>
  <c r="AG23" i="1"/>
  <c r="AF23" i="1"/>
  <c r="AE23" i="1"/>
  <c r="AZ23" i="1" s="1"/>
  <c r="AD23" i="1"/>
  <c r="AY23" i="1" s="1"/>
  <c r="AC23" i="1"/>
  <c r="AX23" i="1" s="1"/>
  <c r="AB23" i="1"/>
  <c r="AW23" i="1" s="1"/>
  <c r="AA23" i="1"/>
  <c r="AV23" i="1" s="1"/>
  <c r="Z23" i="1"/>
  <c r="AU23" i="1" s="1"/>
  <c r="Y23" i="1"/>
  <c r="AT23" i="1" s="1"/>
  <c r="X23" i="1"/>
  <c r="AS23" i="1" s="1"/>
  <c r="W23" i="1"/>
  <c r="AR23" i="1" s="1"/>
  <c r="T23" i="1"/>
  <c r="AO23" i="1" s="1"/>
  <c r="BJ23" i="1" s="1"/>
  <c r="BK22" i="1"/>
  <c r="BI22" i="1"/>
  <c r="BD22" i="1"/>
  <c r="BB22" i="1"/>
  <c r="AZ22" i="1"/>
  <c r="AY22" i="1"/>
  <c r="AX22" i="1"/>
  <c r="AT22" i="1"/>
  <c r="AP22" i="1"/>
  <c r="AN22" i="1"/>
  <c r="AM22" i="1"/>
  <c r="BH22" i="1" s="1"/>
  <c r="AL22" i="1"/>
  <c r="BG22" i="1" s="1"/>
  <c r="AK22" i="1"/>
  <c r="BF22" i="1" s="1"/>
  <c r="AJ22" i="1"/>
  <c r="BE22" i="1" s="1"/>
  <c r="AI22" i="1"/>
  <c r="AH22" i="1"/>
  <c r="BC22" i="1" s="1"/>
  <c r="AG22" i="1"/>
  <c r="AF22" i="1"/>
  <c r="BA22" i="1" s="1"/>
  <c r="AE22" i="1"/>
  <c r="AD22" i="1"/>
  <c r="AC22" i="1"/>
  <c r="AB22" i="1"/>
  <c r="AW22" i="1" s="1"/>
  <c r="AA22" i="1"/>
  <c r="AV22" i="1" s="1"/>
  <c r="Z22" i="1"/>
  <c r="AU22" i="1" s="1"/>
  <c r="Y22" i="1"/>
  <c r="X22" i="1"/>
  <c r="AS22" i="1" s="1"/>
  <c r="W22" i="1"/>
  <c r="AR22" i="1" s="1"/>
  <c r="T22" i="1"/>
  <c r="AO22" i="1" s="1"/>
  <c r="BJ22" i="1" s="1"/>
  <c r="BK21" i="1"/>
  <c r="BI21" i="1"/>
  <c r="BH21" i="1"/>
  <c r="BD21" i="1"/>
  <c r="BC21" i="1"/>
  <c r="BB21" i="1"/>
  <c r="AZ21" i="1"/>
  <c r="AT21" i="1"/>
  <c r="AS21" i="1"/>
  <c r="AR21" i="1"/>
  <c r="AP21" i="1"/>
  <c r="AN21" i="1"/>
  <c r="AM21" i="1"/>
  <c r="AL21" i="1"/>
  <c r="BG21" i="1" s="1"/>
  <c r="AK21" i="1"/>
  <c r="BF21" i="1" s="1"/>
  <c r="AJ21" i="1"/>
  <c r="BE21" i="1" s="1"/>
  <c r="AI21" i="1"/>
  <c r="AH21" i="1"/>
  <c r="AG21" i="1"/>
  <c r="AF21" i="1"/>
  <c r="BA21" i="1" s="1"/>
  <c r="AE21" i="1"/>
  <c r="AD21" i="1"/>
  <c r="AY21" i="1" s="1"/>
  <c r="AC21" i="1"/>
  <c r="AX21" i="1" s="1"/>
  <c r="AB21" i="1"/>
  <c r="AW21" i="1" s="1"/>
  <c r="AA21" i="1"/>
  <c r="AV21" i="1" s="1"/>
  <c r="Z21" i="1"/>
  <c r="AU21" i="1" s="1"/>
  <c r="Y21" i="1"/>
  <c r="X21" i="1"/>
  <c r="W21" i="1"/>
  <c r="T21" i="1"/>
  <c r="AO21" i="1" s="1"/>
  <c r="BJ21" i="1" s="1"/>
  <c r="BE20" i="1"/>
  <c r="BD20" i="1"/>
  <c r="BB20" i="1"/>
  <c r="AZ20" i="1"/>
  <c r="AX20" i="1"/>
  <c r="AR20" i="1"/>
  <c r="AQ20" i="1"/>
  <c r="BL20" i="1" s="1"/>
  <c r="AP20" i="1"/>
  <c r="BK20" i="1" s="1"/>
  <c r="AN20" i="1"/>
  <c r="BI20" i="1" s="1"/>
  <c r="AM20" i="1"/>
  <c r="BH20" i="1" s="1"/>
  <c r="AL20" i="1"/>
  <c r="BG20" i="1" s="1"/>
  <c r="AK20" i="1"/>
  <c r="BF20" i="1" s="1"/>
  <c r="AJ20" i="1"/>
  <c r="AI20" i="1"/>
  <c r="AH20" i="1"/>
  <c r="BC20" i="1" s="1"/>
  <c r="AG20" i="1"/>
  <c r="AF20" i="1"/>
  <c r="BA20" i="1" s="1"/>
  <c r="AE20" i="1"/>
  <c r="AD20" i="1"/>
  <c r="AY20" i="1" s="1"/>
  <c r="AC20" i="1"/>
  <c r="AB20" i="1"/>
  <c r="AW20" i="1" s="1"/>
  <c r="AA20" i="1"/>
  <c r="AV20" i="1" s="1"/>
  <c r="Z20" i="1"/>
  <c r="AU20" i="1" s="1"/>
  <c r="Y20" i="1"/>
  <c r="AT20" i="1" s="1"/>
  <c r="X20" i="1"/>
  <c r="AS20" i="1" s="1"/>
  <c r="W20" i="1"/>
  <c r="T20" i="1"/>
  <c r="BD17" i="1"/>
  <c r="BA17" i="1"/>
  <c r="AX17" i="1"/>
  <c r="AT17" i="1"/>
  <c r="AI17" i="1"/>
  <c r="AF17" i="1"/>
  <c r="AC17" i="1"/>
  <c r="Y17" i="1"/>
  <c r="AS15" i="1"/>
  <c r="X15" i="1"/>
  <c r="BJ14" i="1"/>
  <c r="AS14" i="1"/>
  <c r="AO14" i="1"/>
  <c r="X14" i="1"/>
  <c r="BJ13" i="1"/>
  <c r="AS13" i="1"/>
  <c r="AO13" i="1"/>
  <c r="X13" i="1"/>
  <c r="Z7" i="1"/>
  <c r="AU7" i="1" s="1"/>
  <c r="Z6" i="1"/>
  <c r="AU6" i="1" s="1"/>
  <c r="Z5" i="1"/>
  <c r="AU5" i="1" s="1"/>
  <c r="Z4" i="1"/>
  <c r="AU4" i="1" s="1"/>
  <c r="Z3" i="1"/>
  <c r="AU3" i="1" s="1"/>
  <c r="AO48" i="1" l="1"/>
  <c r="X43" i="1" s="1"/>
  <c r="T43" i="1"/>
  <c r="AO20" i="1"/>
  <c r="AO43" i="1" s="1"/>
  <c r="BJ48" i="1" l="1"/>
  <c r="BJ44" i="1"/>
  <c r="BJ20" i="1"/>
  <c r="BJ43" i="1" s="1"/>
  <c r="AS43" i="1" l="1"/>
</calcChain>
</file>

<file path=xl/sharedStrings.xml><?xml version="1.0" encoding="utf-8"?>
<sst xmlns="http://schemas.openxmlformats.org/spreadsheetml/2006/main" count="97" uniqueCount="45">
  <si>
    <t>บริษัท กวิน บราเธอร์ส จำกัด</t>
  </si>
  <si>
    <t>สำหรับลูกค้า</t>
  </si>
  <si>
    <t>สำหรับบริษัท</t>
  </si>
  <si>
    <t>สำหรับบัญชี</t>
  </si>
  <si>
    <t>Kawin Brothers Co.,Ltd.</t>
  </si>
  <si>
    <t>สำนักงานใหญ่ : 88/6-7 ซอยกาญจนาภิเษก 0010 แยก 2 ถนนกาญจนาภิเษก แขวงบางแค เขตบางแค กรุงเทพฯ 10160</t>
  </si>
  <si>
    <t>Head Office  : 88/6-7 soi Kanchanaphisek 0010 yeak 2 Kanchanaphisek Road</t>
  </si>
  <si>
    <t>,Bang Khae Subdistrict, Bang Khae District ,Bangkok Postal code10160</t>
  </si>
  <si>
    <t>โทร. 082-494-9524   เลขประจำตัวผู้เสียภาษี 0105561208119</t>
  </si>
  <si>
    <t xml:space="preserve"> ต้นฉบับใบกำกับภาษี / ใบส่งสินค้า / ใบแจ้งหนี้</t>
  </si>
  <si>
    <t>สำเนาใบกำกับภาษี / ใบส่งสินค้า / ใบแจ้งหนี้</t>
  </si>
  <si>
    <t xml:space="preserve">ORIGINAL TAX INVOICE / DELIVERY ORDER / INVOICE </t>
  </si>
  <si>
    <t xml:space="preserve">    COPY  TAX INVOICE / DELIVERY ORDER / INVOICE</t>
  </si>
  <si>
    <t>นามลูกค้า</t>
  </si>
  <si>
    <t>เลขที่</t>
  </si>
  <si>
    <t>ที่อยู่</t>
  </si>
  <si>
    <t>วันที่</t>
  </si>
  <si>
    <t>เลขประจำตัวผู้เสียภาษี</t>
  </si>
  <si>
    <t xml:space="preserve"> สำนักงานใหญ่</t>
  </si>
  <si>
    <t xml:space="preserve"> สาขาที่</t>
  </si>
  <si>
    <t>ลำดับ</t>
  </si>
  <si>
    <t>รหัสสินค้า</t>
  </si>
  <si>
    <t>รายละเอียด</t>
  </si>
  <si>
    <t>จำนวน</t>
  </si>
  <si>
    <t>หน่วย</t>
  </si>
  <si>
    <t>ราคา/หน่วย</t>
  </si>
  <si>
    <t>จำนวนเงิน</t>
  </si>
  <si>
    <t>ตัวอักษร.</t>
  </si>
  <si>
    <r>
      <t xml:space="preserve">รวมเงิน
</t>
    </r>
    <r>
      <rPr>
        <sz val="8"/>
        <color indexed="8"/>
        <rFont val="Leelawadee"/>
        <family val="2"/>
        <charset val="1"/>
      </rPr>
      <t>TOTAL AMOUNT</t>
    </r>
  </si>
  <si>
    <t xml:space="preserve">ราคาสินค้าก่อน ภาษีมูลค่าเพิ่มexcluding vat
</t>
  </si>
  <si>
    <r>
      <t xml:space="preserve">ส่วนลด
</t>
    </r>
    <r>
      <rPr>
        <sz val="8"/>
        <color indexed="8"/>
        <rFont val="Leelawadee"/>
        <family val="2"/>
        <charset val="1"/>
      </rPr>
      <t>DISCOUNT</t>
    </r>
  </si>
  <si>
    <t xml:space="preserve">หมายเหตุ :    </t>
  </si>
  <si>
    <t>-</t>
  </si>
  <si>
    <t xml:space="preserve">โอนเข้าบัญชี : ไทยพาณิชย์  ชื่อบัญชี : บริษัท กวิน บราเธอร์ส จำกัด
เลขบัญชี :  414-065-8686  </t>
  </si>
  <si>
    <t>โอนเข้าบัญชี : ไทยพาณิชย์  ชื่อบัญชี : บริษัท กวิน บราเธอร์ส จำกัด
เลขบัญชี :  414-065-8686</t>
  </si>
  <si>
    <r>
      <t xml:space="preserve">มูลค่าสินค้าหลังหักส่วนลด
</t>
    </r>
    <r>
      <rPr>
        <sz val="7"/>
        <color indexed="8"/>
        <rFont val="Leelawadee"/>
        <family val="2"/>
        <charset val="1"/>
      </rPr>
      <t>TOTAL AMOUNT AFTER DISCOUNT</t>
    </r>
  </si>
  <si>
    <r>
      <t xml:space="preserve">ภาษีมูลค่าเพิ่ม
</t>
    </r>
    <r>
      <rPr>
        <sz val="8"/>
        <color indexed="8"/>
        <rFont val="Leelawadee"/>
        <family val="2"/>
        <charset val="1"/>
      </rPr>
      <t>VAT</t>
    </r>
  </si>
  <si>
    <t>ได้รับสินค้าตามรายการข้างบนไว้เรียบร้อยแล้ว</t>
  </si>
  <si>
    <t>ในนาม บริษัท กวิน บราเธอร์ส จำกัด</t>
  </si>
  <si>
    <t xml:space="preserve"> ผู้รับสินค้า</t>
  </si>
  <si>
    <t xml:space="preserve"> ผู้ส่งสินค้า</t>
  </si>
  <si>
    <t xml:space="preserve"> วันที่</t>
  </si>
  <si>
    <t>ผู้มีอำนาจลงนาม</t>
  </si>
  <si>
    <t>ภาษีมูลค่าเพิ่ม
VAT</t>
  </si>
  <si>
    <t>ยอดเงินสุทธิ
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</si>
</sst>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d/m/yy;@"/>
    <numFmt numFmtId="165" formatCode="[$-1000000]0\ 0000\ 00000\ 00\ 0"/>
    <numFmt numFmtId="166" formatCode="_-* #,##0.00_-;\-* #,##0.00_-;_-* &quot;-&quot;??_-;_-@_-"/>
    <numFmt numFmtId="167" formatCode="#,##0.00_ ;[Red]\-\ #,##0.00_ ;"/>
  </numFmts>
  <fonts count="16" x14ac:knownFonts="1">
    <font>
      <sz val="11"/>
      <color indexed="8"/>
      <name val="Tahoma"/>
      <family val="2"/>
    </font>
    <font>
      <sz val="11"/>
      <color indexed="8"/>
      <name val="Tahoma"/>
      <family val="2"/>
    </font>
    <font>
      <sz val="11"/>
      <color theme="5" tint="-0.249977111117893"/>
      <name val="Leelawadee"/>
      <family val="2"/>
      <charset val="1"/>
    </font>
    <font>
      <sz val="11"/>
      <color indexed="8"/>
      <name val="Leelawadee"/>
      <family val="2"/>
      <charset val="1"/>
    </font>
    <font>
      <b/>
      <sz val="20"/>
      <color indexed="8"/>
      <name val="Leelawadee"/>
      <family val="2"/>
      <charset val="1"/>
    </font>
    <font>
      <sz val="10"/>
      <color indexed="8"/>
      <name val="Leelawadee"/>
      <family val="2"/>
      <charset val="1"/>
    </font>
    <font>
      <sz val="8"/>
      <color indexed="8"/>
      <name val="Leelawadee"/>
      <family val="2"/>
      <charset val="1"/>
    </font>
    <font>
      <b/>
      <sz val="15"/>
      <color indexed="8"/>
      <name val="Leelawadee"/>
      <family val="2"/>
      <charset val="1"/>
    </font>
    <font>
      <b/>
      <sz val="11"/>
      <color indexed="8"/>
      <name val="Leelawadee"/>
      <family val="2"/>
      <charset val="1"/>
    </font>
    <font>
      <sz val="11"/>
      <color rgb="FF0070C0"/>
      <name val="Leelawadee"/>
      <family val="2"/>
      <charset val="1"/>
    </font>
    <font>
      <b/>
      <sz val="11"/>
      <color rgb="FF0070C0"/>
      <name val="Leelawadee"/>
      <family val="2"/>
      <charset val="1"/>
    </font>
    <font>
      <sz val="11"/>
      <color theme="0"/>
      <name val="Leelawadee"/>
      <family val="2"/>
      <charset val="1"/>
    </font>
    <font>
      <sz val="11"/>
      <color rgb="FFFF0000"/>
      <name val="Leelawadee"/>
      <family val="2"/>
      <charset val="1"/>
    </font>
    <font>
      <sz val="11"/>
      <name val="Leelawadee"/>
      <family val="2"/>
      <charset val="1"/>
    </font>
    <font>
      <sz val="11"/>
      <color rgb="FF000000"/>
      <name val="Leelawadee"/>
      <family val="2"/>
    </font>
    <font>
      <sz val="7"/>
      <color indexed="8"/>
      <name val="Leelawadee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dashed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dashed">
        <color theme="0" tint="-0.14999847407452621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2" fillId="2" borderId="0" xfId="0" applyFont="1" applyFill="1" applyAlignment="1">
      <alignment vertical="top"/>
    </xf>
    <xf numFmtId="0" fontId="7" fillId="3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indent="1"/>
    </xf>
    <xf numFmtId="0" fontId="9" fillId="3" borderId="1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 applyProtection="1">
      <alignment horizontal="center" vertical="center"/>
      <protection locked="0"/>
    </xf>
    <xf numFmtId="164" fontId="10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9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left" indent="1"/>
    </xf>
    <xf numFmtId="165" fontId="9" fillId="3" borderId="0" xfId="0" applyNumberFormat="1" applyFont="1" applyFill="1" applyAlignment="1" applyProtection="1">
      <alignment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165" fontId="9" fillId="3" borderId="0" xfId="0" applyNumberFormat="1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center"/>
      <protection locked="0"/>
    </xf>
    <xf numFmtId="167" fontId="3" fillId="3" borderId="12" xfId="1" applyNumberFormat="1" applyFont="1" applyFill="1" applyBorder="1" applyAlignment="1" applyProtection="1">
      <alignment vertical="center"/>
      <protection locked="0"/>
    </xf>
    <xf numFmtId="167" fontId="3" fillId="3" borderId="13" xfId="1" applyNumberFormat="1" applyFont="1" applyFill="1" applyBorder="1" applyAlignment="1" applyProtection="1">
      <alignment vertical="center"/>
      <protection locked="0"/>
    </xf>
    <xf numFmtId="167" fontId="3" fillId="3" borderId="14" xfId="1" applyNumberFormat="1" applyFont="1" applyFill="1" applyBorder="1" applyAlignment="1" applyProtection="1">
      <alignment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0" fontId="3" fillId="3" borderId="17" xfId="0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vertical="center"/>
      <protection locked="0"/>
    </xf>
    <xf numFmtId="0" fontId="3" fillId="3" borderId="14" xfId="0" applyFont="1" applyFill="1" applyBorder="1" applyAlignment="1" applyProtection="1">
      <alignment vertical="center"/>
      <protection locked="0"/>
    </xf>
    <xf numFmtId="167" fontId="3" fillId="3" borderId="18" xfId="1" applyNumberFormat="1" applyFont="1" applyFill="1" applyBorder="1" applyAlignment="1" applyProtection="1">
      <alignment vertical="center"/>
      <protection locked="0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19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vertical="center"/>
    </xf>
    <xf numFmtId="0" fontId="3" fillId="3" borderId="25" xfId="0" applyFont="1" applyFill="1" applyBorder="1" applyAlignment="1">
      <alignment horizontal="center" vertical="center"/>
    </xf>
    <xf numFmtId="167" fontId="3" fillId="3" borderId="25" xfId="0" applyNumberFormat="1" applyFont="1" applyFill="1" applyBorder="1" applyAlignment="1">
      <alignment vertical="center"/>
    </xf>
    <xf numFmtId="167" fontId="3" fillId="3" borderId="26" xfId="0" applyNumberFormat="1" applyFont="1" applyFill="1" applyBorder="1" applyAlignment="1">
      <alignment vertical="center"/>
    </xf>
    <xf numFmtId="0" fontId="3" fillId="7" borderId="27" xfId="0" applyFont="1" applyFill="1" applyBorder="1" applyAlignment="1">
      <alignment horizontal="left" vertical="center" indent="1"/>
    </xf>
    <xf numFmtId="0" fontId="3" fillId="3" borderId="32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 vertical="center" indent="1"/>
    </xf>
    <xf numFmtId="0" fontId="3" fillId="3" borderId="34" xfId="0" applyFont="1" applyFill="1" applyBorder="1" applyAlignment="1">
      <alignment vertical="center"/>
    </xf>
    <xf numFmtId="0" fontId="3" fillId="3" borderId="35" xfId="0" applyFont="1" applyFill="1" applyBorder="1" applyAlignment="1">
      <alignment vertical="center"/>
    </xf>
    <xf numFmtId="0" fontId="3" fillId="3" borderId="37" xfId="0" applyFont="1" applyFill="1" applyBorder="1" applyAlignment="1">
      <alignment vertical="center"/>
    </xf>
    <xf numFmtId="0" fontId="3" fillId="3" borderId="25" xfId="0" applyFont="1" applyFill="1" applyBorder="1"/>
    <xf numFmtId="0" fontId="3" fillId="3" borderId="41" xfId="0" applyFont="1" applyFill="1" applyBorder="1"/>
    <xf numFmtId="0" fontId="3" fillId="3" borderId="26" xfId="0" applyFont="1" applyFill="1" applyBorder="1"/>
    <xf numFmtId="0" fontId="3" fillId="3" borderId="38" xfId="0" applyFont="1" applyFill="1" applyBorder="1" applyAlignment="1">
      <alignment vertical="top"/>
    </xf>
    <xf numFmtId="0" fontId="3" fillId="3" borderId="39" xfId="0" applyFont="1" applyFill="1" applyBorder="1" applyAlignment="1">
      <alignment vertical="top"/>
    </xf>
    <xf numFmtId="0" fontId="3" fillId="3" borderId="40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vertical="center"/>
    </xf>
    <xf numFmtId="165" fontId="9" fillId="3" borderId="0" xfId="0" applyNumberFormat="1" applyFont="1" applyFill="1" applyAlignment="1" applyProtection="1">
      <alignment horizontal="center" vertical="center"/>
      <protection locked="0"/>
    </xf>
    <xf numFmtId="165" fontId="9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top"/>
    </xf>
    <xf numFmtId="0" fontId="11" fillId="6" borderId="4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167" fontId="3" fillId="3" borderId="12" xfId="1" applyNumberFormat="1" applyFont="1" applyFill="1" applyBorder="1" applyAlignment="1" applyProtection="1">
      <alignment vertical="center"/>
      <protection locked="0"/>
    </xf>
    <xf numFmtId="167" fontId="3" fillId="3" borderId="13" xfId="1" applyNumberFormat="1" applyFont="1" applyFill="1" applyBorder="1" applyAlignment="1" applyProtection="1">
      <alignment vertical="center"/>
      <protection locked="0"/>
    </xf>
    <xf numFmtId="167" fontId="3" fillId="3" borderId="14" xfId="1" applyNumberFormat="1" applyFont="1" applyFill="1" applyBorder="1" applyAlignment="1" applyProtection="1">
      <alignment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167" fontId="3" fillId="3" borderId="9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10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15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9" xfId="1" applyNumberFormat="1" applyFont="1" applyFill="1" applyBorder="1" applyAlignment="1" applyProtection="1">
      <alignment vertical="center"/>
      <protection locked="0"/>
    </xf>
    <xf numFmtId="167" fontId="3" fillId="3" borderId="16" xfId="1" applyNumberFormat="1" applyFont="1" applyFill="1" applyBorder="1" applyAlignment="1" applyProtection="1">
      <alignment vertical="center"/>
      <protection locked="0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167" fontId="3" fillId="3" borderId="10" xfId="1" applyNumberFormat="1" applyFont="1" applyFill="1" applyBorder="1" applyAlignment="1" applyProtection="1">
      <alignment vertical="center"/>
      <protection locked="0"/>
    </xf>
    <xf numFmtId="167" fontId="3" fillId="3" borderId="15" xfId="1" applyNumberFormat="1" applyFont="1" applyFill="1" applyBorder="1" applyAlignment="1" applyProtection="1">
      <alignment vertical="center"/>
      <protection locked="0"/>
    </xf>
    <xf numFmtId="0" fontId="3" fillId="3" borderId="10" xfId="0" applyFont="1" applyFill="1" applyBorder="1" applyAlignment="1">
      <alignment horizontal="center" vertical="center"/>
    </xf>
    <xf numFmtId="167" fontId="3" fillId="3" borderId="9" xfId="1" applyNumberFormat="1" applyFont="1" applyFill="1" applyBorder="1" applyAlignment="1" applyProtection="1">
      <alignment horizontal="right" vertical="center" indent="1"/>
    </xf>
    <xf numFmtId="167" fontId="3" fillId="3" borderId="10" xfId="1" applyNumberFormat="1" applyFont="1" applyFill="1" applyBorder="1" applyAlignment="1" applyProtection="1">
      <alignment horizontal="right" vertical="center" indent="1"/>
    </xf>
    <xf numFmtId="167" fontId="3" fillId="3" borderId="15" xfId="1" applyNumberFormat="1" applyFont="1" applyFill="1" applyBorder="1" applyAlignment="1" applyProtection="1">
      <alignment horizontal="right" vertical="center" indent="1"/>
    </xf>
    <xf numFmtId="167" fontId="3" fillId="3" borderId="9" xfId="1" applyNumberFormat="1" applyFont="1" applyFill="1" applyBorder="1" applyAlignment="1" applyProtection="1">
      <alignment vertical="center"/>
    </xf>
    <xf numFmtId="167" fontId="3" fillId="3" borderId="16" xfId="1" applyNumberFormat="1" applyFont="1" applyFill="1" applyBorder="1" applyAlignment="1" applyProtection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7" fontId="3" fillId="3" borderId="12" xfId="1" applyNumberFormat="1" applyFont="1" applyFill="1" applyBorder="1" applyAlignment="1" applyProtection="1">
      <alignment horizontal="right" vertical="center" indent="1"/>
    </xf>
    <xf numFmtId="167" fontId="3" fillId="3" borderId="13" xfId="1" applyNumberFormat="1" applyFont="1" applyFill="1" applyBorder="1" applyAlignment="1" applyProtection="1">
      <alignment horizontal="right" vertical="center" indent="1"/>
    </xf>
    <xf numFmtId="167" fontId="3" fillId="3" borderId="14" xfId="1" applyNumberFormat="1" applyFont="1" applyFill="1" applyBorder="1" applyAlignment="1" applyProtection="1">
      <alignment horizontal="right" vertical="center" indent="1"/>
    </xf>
    <xf numFmtId="167" fontId="3" fillId="3" borderId="12" xfId="1" applyNumberFormat="1" applyFont="1" applyFill="1" applyBorder="1" applyAlignment="1" applyProtection="1">
      <alignment vertical="center"/>
    </xf>
    <xf numFmtId="167" fontId="3" fillId="3" borderId="18" xfId="1" applyNumberFormat="1" applyFont="1" applyFill="1" applyBorder="1" applyAlignment="1" applyProtection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2" xfId="0" applyFont="1" applyFill="1" applyBorder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vertical="center"/>
      <protection locked="0"/>
    </xf>
    <xf numFmtId="0" fontId="3" fillId="3" borderId="14" xfId="0" applyFont="1" applyFill="1" applyBorder="1" applyAlignment="1" applyProtection="1">
      <alignment vertical="center"/>
      <protection locked="0"/>
    </xf>
    <xf numFmtId="167" fontId="3" fillId="3" borderId="12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13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14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18" xfId="1" applyNumberFormat="1" applyFont="1" applyFill="1" applyBorder="1" applyAlignment="1" applyProtection="1">
      <alignment vertical="center"/>
      <protection locked="0"/>
    </xf>
    <xf numFmtId="167" fontId="3" fillId="3" borderId="12" xfId="1" applyNumberFormat="1" applyFont="1" applyFill="1" applyBorder="1" applyAlignment="1" applyProtection="1">
      <alignment horizontal="right" vertical="center"/>
      <protection locked="0"/>
    </xf>
    <xf numFmtId="167" fontId="3" fillId="3" borderId="18" xfId="1" applyNumberFormat="1" applyFont="1" applyFill="1" applyBorder="1" applyAlignment="1" applyProtection="1">
      <alignment horizontal="right" vertical="center"/>
      <protection locked="0"/>
    </xf>
    <xf numFmtId="0" fontId="3" fillId="3" borderId="20" xfId="0" applyFont="1" applyFill="1" applyBorder="1" applyAlignment="1" applyProtection="1">
      <alignment horizontal="center" vertical="center"/>
      <protection locked="0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0" fontId="3" fillId="3" borderId="20" xfId="0" applyFont="1" applyFill="1" applyBorder="1" applyAlignment="1" applyProtection="1">
      <alignment vertical="center"/>
      <protection locked="0"/>
    </xf>
    <xf numFmtId="0" fontId="3" fillId="3" borderId="22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167" fontId="3" fillId="3" borderId="20" xfId="1" applyNumberFormat="1" applyFont="1" applyFill="1" applyBorder="1" applyAlignment="1" applyProtection="1">
      <alignment vertical="center"/>
      <protection locked="0"/>
    </xf>
    <xf numFmtId="167" fontId="3" fillId="3" borderId="22" xfId="1" applyNumberFormat="1" applyFont="1" applyFill="1" applyBorder="1" applyAlignment="1" applyProtection="1">
      <alignment vertical="center"/>
      <protection locked="0"/>
    </xf>
    <xf numFmtId="167" fontId="3" fillId="3" borderId="21" xfId="1" applyNumberFormat="1" applyFont="1" applyFill="1" applyBorder="1" applyAlignment="1" applyProtection="1">
      <alignment vertical="center"/>
      <protection locked="0"/>
    </xf>
    <xf numFmtId="0" fontId="3" fillId="3" borderId="22" xfId="0" applyFont="1" applyFill="1" applyBorder="1" applyAlignment="1" applyProtection="1">
      <alignment horizontal="center" vertical="center"/>
      <protection locked="0"/>
    </xf>
    <xf numFmtId="167" fontId="3" fillId="3" borderId="20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22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21" xfId="1" applyNumberFormat="1" applyFont="1" applyFill="1" applyBorder="1" applyAlignment="1" applyProtection="1">
      <alignment horizontal="right" vertical="center" indent="1"/>
      <protection locked="0"/>
    </xf>
    <xf numFmtId="167" fontId="3" fillId="3" borderId="20" xfId="1" applyNumberFormat="1" applyFont="1" applyFill="1" applyBorder="1" applyAlignment="1" applyProtection="1">
      <alignment vertical="center"/>
    </xf>
    <xf numFmtId="167" fontId="3" fillId="3" borderId="23" xfId="1" applyNumberFormat="1" applyFont="1" applyFill="1" applyBorder="1" applyAlignment="1" applyProtection="1">
      <alignment vertical="center"/>
    </xf>
    <xf numFmtId="0" fontId="3" fillId="7" borderId="28" xfId="0" applyFont="1" applyFill="1" applyBorder="1" applyAlignment="1">
      <alignment horizontal="left" vertical="center" indent="1"/>
    </xf>
    <xf numFmtId="0" fontId="3" fillId="7" borderId="29" xfId="0" applyFont="1" applyFill="1" applyBorder="1" applyAlignment="1">
      <alignment horizontal="left" vertical="center" indent="1"/>
    </xf>
    <xf numFmtId="0" fontId="3" fillId="3" borderId="30" xfId="0" applyFont="1" applyFill="1" applyBorder="1" applyAlignment="1">
      <alignment vertical="top" wrapText="1"/>
    </xf>
    <xf numFmtId="0" fontId="3" fillId="3" borderId="31" xfId="0" applyFont="1" applyFill="1" applyBorder="1" applyAlignment="1">
      <alignment vertical="top" wrapText="1"/>
    </xf>
    <xf numFmtId="166" fontId="3" fillId="3" borderId="30" xfId="1" applyFont="1" applyFill="1" applyBorder="1" applyAlignment="1" applyProtection="1">
      <alignment vertical="center"/>
    </xf>
    <xf numFmtId="166" fontId="3" fillId="3" borderId="33" xfId="1" applyFont="1" applyFill="1" applyBorder="1" applyAlignment="1" applyProtection="1">
      <alignment vertical="center"/>
    </xf>
    <xf numFmtId="0" fontId="3" fillId="3" borderId="30" xfId="0" applyFont="1" applyFill="1" applyBorder="1" applyAlignment="1">
      <alignment horizontal="left" vertical="center" wrapText="1" indent="1"/>
    </xf>
    <xf numFmtId="0" fontId="3" fillId="3" borderId="31" xfId="0" applyFont="1" applyFill="1" applyBorder="1" applyAlignment="1">
      <alignment horizontal="left" vertical="center" wrapText="1" indent="1"/>
    </xf>
    <xf numFmtId="167" fontId="3" fillId="3" borderId="30" xfId="0" applyNumberFormat="1" applyFont="1" applyFill="1" applyBorder="1" applyAlignment="1">
      <alignment vertical="center"/>
    </xf>
    <xf numFmtId="167" fontId="3" fillId="3" borderId="33" xfId="0" applyNumberFormat="1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167" fontId="3" fillId="3" borderId="20" xfId="1" applyNumberFormat="1" applyFont="1" applyFill="1" applyBorder="1" applyAlignment="1" applyProtection="1">
      <alignment horizontal="right" vertical="center" indent="1"/>
    </xf>
    <xf numFmtId="167" fontId="3" fillId="3" borderId="22" xfId="1" applyNumberFormat="1" applyFont="1" applyFill="1" applyBorder="1" applyAlignment="1" applyProtection="1">
      <alignment horizontal="right" vertical="center" indent="1"/>
    </xf>
    <xf numFmtId="167" fontId="3" fillId="3" borderId="21" xfId="1" applyNumberFormat="1" applyFont="1" applyFill="1" applyBorder="1" applyAlignment="1" applyProtection="1">
      <alignment horizontal="right" vertical="center" indent="1"/>
    </xf>
    <xf numFmtId="167" fontId="3" fillId="3" borderId="23" xfId="1" applyNumberFormat="1" applyFont="1" applyFill="1" applyBorder="1" applyAlignment="1" applyProtection="1">
      <alignment vertical="center"/>
      <protection locked="0"/>
    </xf>
    <xf numFmtId="9" fontId="3" fillId="3" borderId="36" xfId="2" applyFont="1" applyFill="1" applyBorder="1" applyAlignment="1" applyProtection="1">
      <alignment horizontal="center" vertical="center" wrapText="1"/>
    </xf>
    <xf numFmtId="9" fontId="3" fillId="3" borderId="32" xfId="2" applyFont="1" applyFill="1" applyBorder="1" applyAlignment="1" applyProtection="1">
      <alignment horizontal="center" vertical="center" wrapText="1"/>
    </xf>
    <xf numFmtId="166" fontId="3" fillId="3" borderId="34" xfId="1" applyFont="1" applyFill="1" applyBorder="1" applyAlignment="1" applyProtection="1">
      <alignment horizontal="right" vertical="center"/>
    </xf>
    <xf numFmtId="166" fontId="3" fillId="3" borderId="37" xfId="1" applyFont="1" applyFill="1" applyBorder="1" applyAlignment="1" applyProtection="1">
      <alignment horizontal="right" vertical="center"/>
    </xf>
    <xf numFmtId="166" fontId="3" fillId="3" borderId="30" xfId="1" applyFont="1" applyFill="1" applyBorder="1" applyAlignment="1" applyProtection="1">
      <alignment horizontal="right" vertical="center"/>
    </xf>
    <xf numFmtId="166" fontId="3" fillId="3" borderId="33" xfId="1" applyFont="1" applyFill="1" applyBorder="1" applyAlignment="1" applyProtection="1">
      <alignment horizontal="right" vertical="center"/>
    </xf>
    <xf numFmtId="0" fontId="14" fillId="3" borderId="0" xfId="0" applyFont="1" applyFill="1" applyAlignment="1">
      <alignment horizontal="left" vertical="top" wrapText="1"/>
    </xf>
    <xf numFmtId="166" fontId="3" fillId="3" borderId="34" xfId="1" applyFont="1" applyFill="1" applyBorder="1" applyAlignment="1" applyProtection="1">
      <alignment vertical="center"/>
    </xf>
    <xf numFmtId="166" fontId="3" fillId="3" borderId="37" xfId="1" applyFont="1" applyFill="1" applyBorder="1" applyAlignment="1" applyProtection="1">
      <alignment vertical="center"/>
    </xf>
    <xf numFmtId="167" fontId="3" fillId="3" borderId="34" xfId="0" applyNumberFormat="1" applyFont="1" applyFill="1" applyBorder="1" applyAlignment="1">
      <alignment vertical="center"/>
    </xf>
    <xf numFmtId="167" fontId="3" fillId="3" borderId="37" xfId="0" applyNumberFormat="1" applyFont="1" applyFill="1" applyBorder="1" applyAlignment="1">
      <alignment vertical="center"/>
    </xf>
    <xf numFmtId="0" fontId="3" fillId="3" borderId="34" xfId="0" applyFont="1" applyFill="1" applyBorder="1" applyAlignment="1">
      <alignment horizontal="left" vertical="center" wrapText="1" indent="1"/>
    </xf>
    <xf numFmtId="0" fontId="3" fillId="3" borderId="35" xfId="0" applyFont="1" applyFill="1" applyBorder="1" applyAlignment="1">
      <alignment horizontal="left" vertical="center" wrapText="1" indent="1"/>
    </xf>
    <xf numFmtId="0" fontId="3" fillId="3" borderId="36" xfId="0" applyFont="1" applyFill="1" applyBorder="1" applyAlignment="1">
      <alignment horizontal="left" vertical="center" wrapText="1" indent="1"/>
    </xf>
    <xf numFmtId="0" fontId="3" fillId="3" borderId="32" xfId="0" applyFont="1" applyFill="1" applyBorder="1" applyAlignment="1">
      <alignment horizontal="left" vertical="center" wrapText="1" indent="1"/>
    </xf>
    <xf numFmtId="0" fontId="3" fillId="3" borderId="34" xfId="0" applyFont="1" applyFill="1" applyBorder="1" applyAlignment="1">
      <alignment horizontal="left" vertical="top" wrapText="1"/>
    </xf>
    <xf numFmtId="0" fontId="3" fillId="3" borderId="35" xfId="0" applyFont="1" applyFill="1" applyBorder="1" applyAlignment="1">
      <alignment horizontal="left" vertical="top" wrapText="1"/>
    </xf>
    <xf numFmtId="0" fontId="3" fillId="3" borderId="36" xfId="0" applyFont="1" applyFill="1" applyBorder="1" applyAlignment="1">
      <alignment horizontal="left" vertical="top" wrapText="1"/>
    </xf>
    <xf numFmtId="0" fontId="3" fillId="3" borderId="30" xfId="0" applyFont="1" applyFill="1" applyBorder="1" applyAlignment="1">
      <alignment horizontal="left" vertical="top" wrapText="1"/>
    </xf>
    <xf numFmtId="0" fontId="3" fillId="3" borderId="31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166" fontId="3" fillId="3" borderId="34" xfId="1" applyFont="1" applyFill="1" applyBorder="1" applyAlignment="1" applyProtection="1">
      <alignment horizontal="center" vertical="center"/>
    </xf>
    <xf numFmtId="166" fontId="3" fillId="3" borderId="37" xfId="1" applyFont="1" applyFill="1" applyBorder="1" applyAlignment="1" applyProtection="1">
      <alignment horizontal="center" vertical="center"/>
    </xf>
    <xf numFmtId="166" fontId="3" fillId="3" borderId="30" xfId="1" applyFont="1" applyFill="1" applyBorder="1" applyAlignment="1" applyProtection="1">
      <alignment horizontal="center" vertical="center"/>
    </xf>
    <xf numFmtId="166" fontId="3" fillId="3" borderId="33" xfId="1" applyFont="1" applyFill="1" applyBorder="1" applyAlignment="1" applyProtection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9" fontId="3" fillId="3" borderId="36" xfId="2" applyFont="1" applyFill="1" applyBorder="1" applyAlignment="1" applyProtection="1">
      <alignment horizontal="left" vertical="center" wrapText="1"/>
    </xf>
    <xf numFmtId="9" fontId="3" fillId="3" borderId="32" xfId="2" applyFont="1" applyFill="1" applyBorder="1" applyAlignment="1" applyProtection="1">
      <alignment horizontal="left" vertical="center" wrapText="1"/>
    </xf>
    <xf numFmtId="0" fontId="3" fillId="3" borderId="38" xfId="0" applyFont="1" applyFill="1" applyBorder="1" applyAlignment="1">
      <alignment horizontal="center" vertical="top"/>
    </xf>
    <xf numFmtId="0" fontId="3" fillId="3" borderId="39" xfId="0" applyFont="1" applyFill="1" applyBorder="1" applyAlignment="1">
      <alignment horizontal="center" vertical="top"/>
    </xf>
    <xf numFmtId="0" fontId="3" fillId="3" borderId="40" xfId="0" applyFont="1" applyFill="1" applyBorder="1" applyAlignment="1">
      <alignment horizontal="center" vertical="top"/>
    </xf>
    <xf numFmtId="9" fontId="3" fillId="3" borderId="36" xfId="0" applyNumberFormat="1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4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2">
    <dxf>
      <fill>
        <gradientFill degree="90">
          <stop position="0">
            <color theme="0"/>
          </stop>
          <stop position="1">
            <color rgb="FFFFFFCC"/>
          </stop>
        </gradientFill>
      </fill>
    </dxf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379096</xdr:colOff>
      <xdr:row>8</xdr:row>
      <xdr:rowOff>161291</xdr:rowOff>
    </xdr:from>
    <xdr:to>
      <xdr:col>17</xdr:col>
      <xdr:colOff>539760</xdr:colOff>
      <xdr:row>11</xdr:row>
      <xdr:rowOff>4146</xdr:rowOff>
    </xdr:to>
    <xdr:sp macro="" textlink="">
      <xdr:nvSpPr>
        <xdr:cNvPr id="2" name="มนมุมสี่เหลี่ยมด้านทแยงมุม 5">
          <a:extLst>
            <a:ext uri="{FF2B5EF4-FFF2-40B4-BE49-F238E27FC236}">
              <a16:creationId xmlns:a16="http://schemas.microsoft.com/office/drawing/2014/main" id="{FCEDE082-BEE7-445B-9FC7-598EE77664EA}"/>
            </a:ext>
          </a:extLst>
        </xdr:cNvPr>
        <xdr:cNvSpPr/>
      </xdr:nvSpPr>
      <xdr:spPr>
        <a:xfrm>
          <a:off x="2566036" y="2005331"/>
          <a:ext cx="4168784" cy="505795"/>
        </a:xfrm>
        <a:prstGeom prst="round2Diag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19</xdr:col>
      <xdr:colOff>79375</xdr:colOff>
      <xdr:row>2</xdr:row>
      <xdr:rowOff>2858</xdr:rowOff>
    </xdr:from>
    <xdr:to>
      <xdr:col>19</xdr:col>
      <xdr:colOff>1284101</xdr:colOff>
      <xdr:row>3</xdr:row>
      <xdr:rowOff>476</xdr:rowOff>
    </xdr:to>
    <xdr:sp macro="" textlink="">
      <xdr:nvSpPr>
        <xdr:cNvPr id="3" name="สี่เหลี่ยมมุมมน 7">
          <a:extLst>
            <a:ext uri="{FF2B5EF4-FFF2-40B4-BE49-F238E27FC236}">
              <a16:creationId xmlns:a16="http://schemas.microsoft.com/office/drawing/2014/main" id="{1951836D-9994-4159-9347-3708D66370D9}"/>
            </a:ext>
          </a:extLst>
        </xdr:cNvPr>
        <xdr:cNvSpPr/>
      </xdr:nvSpPr>
      <xdr:spPr>
        <a:xfrm>
          <a:off x="7226935" y="505778"/>
          <a:ext cx="1204726" cy="317658"/>
        </a:xfrm>
        <a:prstGeom prst="roundRect">
          <a:avLst/>
        </a:prstGeom>
        <a:noFill/>
        <a:ln cmpd="dbl"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40</xdr:col>
      <xdr:colOff>85090</xdr:colOff>
      <xdr:row>2</xdr:row>
      <xdr:rowOff>2858</xdr:rowOff>
    </xdr:from>
    <xdr:to>
      <xdr:col>40</xdr:col>
      <xdr:colOff>1285980</xdr:colOff>
      <xdr:row>3</xdr:row>
      <xdr:rowOff>476</xdr:rowOff>
    </xdr:to>
    <xdr:sp macro="" textlink="">
      <xdr:nvSpPr>
        <xdr:cNvPr id="4" name="สี่เหลี่ยมมุมมน 17">
          <a:extLst>
            <a:ext uri="{FF2B5EF4-FFF2-40B4-BE49-F238E27FC236}">
              <a16:creationId xmlns:a16="http://schemas.microsoft.com/office/drawing/2014/main" id="{F3DBFD76-96CA-41BA-B88C-C711056FB5A9}"/>
            </a:ext>
          </a:extLst>
        </xdr:cNvPr>
        <xdr:cNvSpPr/>
      </xdr:nvSpPr>
      <xdr:spPr>
        <a:xfrm>
          <a:off x="15805150" y="505778"/>
          <a:ext cx="1200890" cy="317658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25</xdr:col>
      <xdr:colOff>464821</xdr:colOff>
      <xdr:row>8</xdr:row>
      <xdr:rowOff>48895</xdr:rowOff>
    </xdr:from>
    <xdr:to>
      <xdr:col>38</xdr:col>
      <xdr:colOff>196423</xdr:colOff>
      <xdr:row>11</xdr:row>
      <xdr:rowOff>1257</xdr:rowOff>
    </xdr:to>
    <xdr:sp macro="" textlink="">
      <xdr:nvSpPr>
        <xdr:cNvPr id="5" name="มนมุมสี่เหลี่ยมด้านทแยงมุม 18">
          <a:extLst>
            <a:ext uri="{FF2B5EF4-FFF2-40B4-BE49-F238E27FC236}">
              <a16:creationId xmlns:a16="http://schemas.microsoft.com/office/drawing/2014/main" id="{C145CCA4-0186-43D8-845B-F32825ADB44C}"/>
            </a:ext>
          </a:extLst>
        </xdr:cNvPr>
        <xdr:cNvSpPr/>
      </xdr:nvSpPr>
      <xdr:spPr>
        <a:xfrm>
          <a:off x="11285221" y="1892935"/>
          <a:ext cx="3739722" cy="615302"/>
        </a:xfrm>
        <a:prstGeom prst="round2Diag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85090</xdr:colOff>
      <xdr:row>2</xdr:row>
      <xdr:rowOff>2858</xdr:rowOff>
    </xdr:from>
    <xdr:to>
      <xdr:col>61</xdr:col>
      <xdr:colOff>1285980</xdr:colOff>
      <xdr:row>3</xdr:row>
      <xdr:rowOff>476</xdr:rowOff>
    </xdr:to>
    <xdr:sp macro="" textlink="">
      <xdr:nvSpPr>
        <xdr:cNvPr id="6" name="สี่เหลี่ยมมุมมน 20">
          <a:extLst>
            <a:ext uri="{FF2B5EF4-FFF2-40B4-BE49-F238E27FC236}">
              <a16:creationId xmlns:a16="http://schemas.microsoft.com/office/drawing/2014/main" id="{8467F5F8-CAE5-4970-BA05-07DED302AA82}"/>
            </a:ext>
          </a:extLst>
        </xdr:cNvPr>
        <xdr:cNvSpPr/>
      </xdr:nvSpPr>
      <xdr:spPr>
        <a:xfrm>
          <a:off x="24377650" y="505778"/>
          <a:ext cx="1200890" cy="317658"/>
        </a:xfrm>
        <a:prstGeom prst="roundRect">
          <a:avLst/>
        </a:prstGeom>
        <a:noFill/>
        <a:ln cmpd="dbl">
          <a:solidFill>
            <a:srgbClr val="CC0066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85090</xdr:colOff>
      <xdr:row>2</xdr:row>
      <xdr:rowOff>2858</xdr:rowOff>
    </xdr:from>
    <xdr:to>
      <xdr:col>61</xdr:col>
      <xdr:colOff>1285980</xdr:colOff>
      <xdr:row>3</xdr:row>
      <xdr:rowOff>476</xdr:rowOff>
    </xdr:to>
    <xdr:sp macro="" textlink="">
      <xdr:nvSpPr>
        <xdr:cNvPr id="7" name="สี่เหลี่ยมมุมมน 26">
          <a:extLst>
            <a:ext uri="{FF2B5EF4-FFF2-40B4-BE49-F238E27FC236}">
              <a16:creationId xmlns:a16="http://schemas.microsoft.com/office/drawing/2014/main" id="{ECC48C66-BF61-478F-9064-92C3A4C0FA69}"/>
            </a:ext>
          </a:extLst>
        </xdr:cNvPr>
        <xdr:cNvSpPr/>
      </xdr:nvSpPr>
      <xdr:spPr>
        <a:xfrm>
          <a:off x="24377650" y="505778"/>
          <a:ext cx="1200890" cy="317658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85090</xdr:colOff>
      <xdr:row>2</xdr:row>
      <xdr:rowOff>2858</xdr:rowOff>
    </xdr:from>
    <xdr:to>
      <xdr:col>61</xdr:col>
      <xdr:colOff>1285980</xdr:colOff>
      <xdr:row>3</xdr:row>
      <xdr:rowOff>476</xdr:rowOff>
    </xdr:to>
    <xdr:sp macro="" textlink="">
      <xdr:nvSpPr>
        <xdr:cNvPr id="8" name="สี่เหลี่ยมมุมมน 29">
          <a:extLst>
            <a:ext uri="{FF2B5EF4-FFF2-40B4-BE49-F238E27FC236}">
              <a16:creationId xmlns:a16="http://schemas.microsoft.com/office/drawing/2014/main" id="{B5B87DF1-45EB-48A4-A0FE-ED7C3A4477C8}"/>
            </a:ext>
          </a:extLst>
        </xdr:cNvPr>
        <xdr:cNvSpPr/>
      </xdr:nvSpPr>
      <xdr:spPr>
        <a:xfrm>
          <a:off x="24377650" y="505778"/>
          <a:ext cx="1200890" cy="317658"/>
        </a:xfrm>
        <a:prstGeom prst="roundRect">
          <a:avLst/>
        </a:prstGeom>
        <a:noFill/>
        <a:ln cmpd="dbl">
          <a:solidFill>
            <a:schemeClr val="accent5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46</xdr:col>
      <xdr:colOff>579755</xdr:colOff>
      <xdr:row>8</xdr:row>
      <xdr:rowOff>161290</xdr:rowOff>
    </xdr:from>
    <xdr:to>
      <xdr:col>59</xdr:col>
      <xdr:colOff>466067</xdr:colOff>
      <xdr:row>10</xdr:row>
      <xdr:rowOff>243647</xdr:rowOff>
    </xdr:to>
    <xdr:sp macro="" textlink="">
      <xdr:nvSpPr>
        <xdr:cNvPr id="9" name="มนมุมสี่เหลี่ยมด้านทแยงมุม 30">
          <a:extLst>
            <a:ext uri="{FF2B5EF4-FFF2-40B4-BE49-F238E27FC236}">
              <a16:creationId xmlns:a16="http://schemas.microsoft.com/office/drawing/2014/main" id="{FB478EBD-A3FC-436B-98FF-394212BCB759}"/>
            </a:ext>
          </a:extLst>
        </xdr:cNvPr>
        <xdr:cNvSpPr/>
      </xdr:nvSpPr>
      <xdr:spPr>
        <a:xfrm>
          <a:off x="19972655" y="2005330"/>
          <a:ext cx="3894432" cy="501457"/>
        </a:xfrm>
        <a:prstGeom prst="round2Diag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</xdr:col>
      <xdr:colOff>137160</xdr:colOff>
      <xdr:row>1</xdr:row>
      <xdr:rowOff>190500</xdr:rowOff>
    </xdr:from>
    <xdr:to>
      <xdr:col>4</xdr:col>
      <xdr:colOff>0</xdr:colOff>
      <xdr:row>10</xdr:row>
      <xdr:rowOff>0</xdr:rowOff>
    </xdr:to>
    <xdr:pic>
      <xdr:nvPicPr>
        <xdr:cNvPr id="10" name="รูปภาพ 13">
          <a:extLst>
            <a:ext uri="{FF2B5EF4-FFF2-40B4-BE49-F238E27FC236}">
              <a16:creationId xmlns:a16="http://schemas.microsoft.com/office/drawing/2014/main" id="{6A99EE9D-672C-42E5-BF83-64F6ACC0C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502920"/>
          <a:ext cx="166878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137160</xdr:colOff>
      <xdr:row>1</xdr:row>
      <xdr:rowOff>190500</xdr:rowOff>
    </xdr:from>
    <xdr:to>
      <xdr:col>4</xdr:col>
      <xdr:colOff>0</xdr:colOff>
      <xdr:row>10</xdr:row>
      <xdr:rowOff>0</xdr:rowOff>
    </xdr:to>
    <xdr:pic>
      <xdr:nvPicPr>
        <xdr:cNvPr id="11" name="รูปภาพ 14">
          <a:extLst>
            <a:ext uri="{FF2B5EF4-FFF2-40B4-BE49-F238E27FC236}">
              <a16:creationId xmlns:a16="http://schemas.microsoft.com/office/drawing/2014/main" id="{EF31A5AA-73F9-4DC1-B73D-D9A03D46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502920"/>
          <a:ext cx="166878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220980</xdr:colOff>
      <xdr:row>1</xdr:row>
      <xdr:rowOff>121920</xdr:rowOff>
    </xdr:from>
    <xdr:to>
      <xdr:col>25</xdr:col>
      <xdr:colOff>0</xdr:colOff>
      <xdr:row>10</xdr:row>
      <xdr:rowOff>0</xdr:rowOff>
    </xdr:to>
    <xdr:pic>
      <xdr:nvPicPr>
        <xdr:cNvPr id="12" name="รูปภาพ 15">
          <a:extLst>
            <a:ext uri="{FF2B5EF4-FFF2-40B4-BE49-F238E27FC236}">
              <a16:creationId xmlns:a16="http://schemas.microsoft.com/office/drawing/2014/main" id="{B2717AAD-875B-4C64-B64F-89B13D6AD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440" y="449580"/>
          <a:ext cx="1584960" cy="18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281940</xdr:colOff>
      <xdr:row>1</xdr:row>
      <xdr:rowOff>190500</xdr:rowOff>
    </xdr:from>
    <xdr:to>
      <xdr:col>46</xdr:col>
      <xdr:colOff>0</xdr:colOff>
      <xdr:row>10</xdr:row>
      <xdr:rowOff>0</xdr:rowOff>
    </xdr:to>
    <xdr:pic>
      <xdr:nvPicPr>
        <xdr:cNvPr id="13" name="รูปภาพ 16">
          <a:extLst>
            <a:ext uri="{FF2B5EF4-FFF2-40B4-BE49-F238E27FC236}">
              <a16:creationId xmlns:a16="http://schemas.microsoft.com/office/drawing/2014/main" id="{C89C1093-78DD-466A-B4CE-1318D9B9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502920"/>
          <a:ext cx="152400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E989-76F2-4A60-BC82-CC3952D27924}">
  <sheetPr>
    <pageSetUpPr fitToPage="1"/>
  </sheetPr>
  <dimension ref="A1:BL55"/>
  <sheetViews>
    <sheetView tabSelected="1" topLeftCell="A15" workbookViewId="0">
      <selection activeCell="B46" sqref="B46:L49"/>
    </sheetView>
  </sheetViews>
  <sheetFormatPr defaultColWidth="11" defaultRowHeight="13.8" x14ac:dyDescent="0.25"/>
  <cols>
    <col min="1" max="1" width="5" style="3" customWidth="1"/>
    <col min="2" max="2" width="9.5" style="3" customWidth="1"/>
    <col min="3" max="3" width="9.09765625" style="3" customWidth="1"/>
    <col min="4" max="4" width="5.09765625" style="3" customWidth="1"/>
    <col min="5" max="5" width="15.09765625" style="3" customWidth="1"/>
    <col min="6" max="6" width="1.3984375" style="3" customWidth="1"/>
    <col min="7" max="7" width="0.8984375" style="3" customWidth="1"/>
    <col min="8" max="8" width="2.5" style="3" customWidth="1"/>
    <col min="9" max="9" width="6.59765625" style="3" customWidth="1"/>
    <col min="10" max="10" width="6.5" style="3" customWidth="1"/>
    <col min="11" max="11" width="2.5" style="3" customWidth="1"/>
    <col min="12" max="12" width="6.09765625" style="3" customWidth="1"/>
    <col min="13" max="13" width="1" style="3" customWidth="1"/>
    <col min="14" max="14" width="6.09765625" style="3" customWidth="1"/>
    <col min="15" max="15" width="1.5" style="3" customWidth="1"/>
    <col min="16" max="16" width="0.8984375" style="3" customWidth="1"/>
    <col min="17" max="17" width="1.5" style="3" customWidth="1"/>
    <col min="18" max="18" width="7.09765625" style="3" customWidth="1"/>
    <col min="19" max="19" width="5.3984375" style="3" customWidth="1"/>
    <col min="20" max="20" width="16.8984375" style="3" customWidth="1"/>
    <col min="21" max="21" width="2" style="3" customWidth="1"/>
    <col min="22" max="22" width="5.59765625" style="3" customWidth="1"/>
    <col min="23" max="23" width="9.5" style="3" customWidth="1"/>
    <col min="24" max="24" width="9.09765625" style="3" customWidth="1"/>
    <col min="25" max="25" width="5.09765625" style="3" customWidth="1"/>
    <col min="26" max="26" width="15.09765625" style="3" customWidth="1"/>
    <col min="27" max="27" width="1.3984375" style="3" customWidth="1"/>
    <col min="28" max="28" width="0.8984375" style="3" customWidth="1"/>
    <col min="29" max="29" width="2.5" style="3" customWidth="1"/>
    <col min="30" max="30" width="6.59765625" style="3" customWidth="1"/>
    <col min="31" max="31" width="6.5" style="3" customWidth="1"/>
    <col min="32" max="32" width="2.5" style="3" customWidth="1"/>
    <col min="33" max="33" width="6.09765625" style="3" customWidth="1"/>
    <col min="34" max="34" width="1" style="3" customWidth="1"/>
    <col min="35" max="35" width="6.09765625" style="3" customWidth="1"/>
    <col min="36" max="36" width="1.5" style="3" customWidth="1"/>
    <col min="37" max="37" width="0.8984375" style="3" customWidth="1"/>
    <col min="38" max="38" width="1.5" style="3" customWidth="1"/>
    <col min="39" max="39" width="7.09765625" style="3" customWidth="1"/>
    <col min="40" max="40" width="4.59765625" style="3" customWidth="1"/>
    <col min="41" max="41" width="16.8984375" style="3" customWidth="1"/>
    <col min="42" max="42" width="2" style="3" customWidth="1"/>
    <col min="43" max="43" width="5.59765625" style="3" customWidth="1"/>
    <col min="44" max="44" width="9.5" style="3" customWidth="1"/>
    <col min="45" max="45" width="9.09765625" style="3" customWidth="1"/>
    <col min="46" max="46" width="5.09765625" style="3" customWidth="1"/>
    <col min="47" max="47" width="15.09765625" style="3" customWidth="1"/>
    <col min="48" max="48" width="1.3984375" style="3" customWidth="1"/>
    <col min="49" max="49" width="0.8984375" style="3" customWidth="1"/>
    <col min="50" max="50" width="2.5" style="3" customWidth="1"/>
    <col min="51" max="51" width="6.59765625" style="3" customWidth="1"/>
    <col min="52" max="52" width="6.5" style="3" customWidth="1"/>
    <col min="53" max="53" width="2.5" style="3" customWidth="1"/>
    <col min="54" max="54" width="6.09765625" style="3" customWidth="1"/>
    <col min="55" max="55" width="1" style="3" customWidth="1"/>
    <col min="56" max="56" width="6.09765625" style="3" customWidth="1"/>
    <col min="57" max="57" width="1.5" style="3" customWidth="1"/>
    <col min="58" max="58" width="0.8984375" style="3" customWidth="1"/>
    <col min="59" max="59" width="1.5" style="3" customWidth="1"/>
    <col min="60" max="60" width="7.09765625" style="3" customWidth="1"/>
    <col min="61" max="61" width="4.59765625" style="3" customWidth="1"/>
    <col min="62" max="62" width="16.8984375" style="3" customWidth="1"/>
    <col min="63" max="63" width="2" style="3" customWidth="1"/>
    <col min="64" max="64" width="5.59765625" style="3" customWidth="1"/>
    <col min="65" max="256" width="11" style="3"/>
    <col min="257" max="257" width="5" style="3" customWidth="1"/>
    <col min="258" max="258" width="9.5" style="3" customWidth="1"/>
    <col min="259" max="259" width="9.09765625" style="3" customWidth="1"/>
    <col min="260" max="260" width="5.09765625" style="3" customWidth="1"/>
    <col min="261" max="261" width="15.09765625" style="3" customWidth="1"/>
    <col min="262" max="262" width="1.3984375" style="3" customWidth="1"/>
    <col min="263" max="263" width="0.8984375" style="3" customWidth="1"/>
    <col min="264" max="264" width="2.5" style="3" customWidth="1"/>
    <col min="265" max="265" width="6.59765625" style="3" customWidth="1"/>
    <col min="266" max="266" width="6.5" style="3" customWidth="1"/>
    <col min="267" max="267" width="2.5" style="3" customWidth="1"/>
    <col min="268" max="268" width="6.09765625" style="3" customWidth="1"/>
    <col min="269" max="269" width="1" style="3" customWidth="1"/>
    <col min="270" max="270" width="6.09765625" style="3" customWidth="1"/>
    <col min="271" max="271" width="1.5" style="3" customWidth="1"/>
    <col min="272" max="272" width="0.8984375" style="3" customWidth="1"/>
    <col min="273" max="273" width="1.5" style="3" customWidth="1"/>
    <col min="274" max="274" width="7.09765625" style="3" customWidth="1"/>
    <col min="275" max="275" width="5.3984375" style="3" customWidth="1"/>
    <col min="276" max="276" width="16.8984375" style="3" customWidth="1"/>
    <col min="277" max="277" width="2" style="3" customWidth="1"/>
    <col min="278" max="278" width="5.59765625" style="3" customWidth="1"/>
    <col min="279" max="279" width="9.5" style="3" customWidth="1"/>
    <col min="280" max="280" width="9.09765625" style="3" customWidth="1"/>
    <col min="281" max="281" width="5.09765625" style="3" customWidth="1"/>
    <col min="282" max="282" width="15.09765625" style="3" customWidth="1"/>
    <col min="283" max="283" width="1.3984375" style="3" customWidth="1"/>
    <col min="284" max="284" width="0.8984375" style="3" customWidth="1"/>
    <col min="285" max="285" width="2.5" style="3" customWidth="1"/>
    <col min="286" max="286" width="6.59765625" style="3" customWidth="1"/>
    <col min="287" max="287" width="6.5" style="3" customWidth="1"/>
    <col min="288" max="288" width="2.5" style="3" customWidth="1"/>
    <col min="289" max="289" width="6.09765625" style="3" customWidth="1"/>
    <col min="290" max="290" width="1" style="3" customWidth="1"/>
    <col min="291" max="291" width="6.09765625" style="3" customWidth="1"/>
    <col min="292" max="292" width="1.5" style="3" customWidth="1"/>
    <col min="293" max="293" width="0.8984375" style="3" customWidth="1"/>
    <col min="294" max="294" width="1.5" style="3" customWidth="1"/>
    <col min="295" max="295" width="7.09765625" style="3" customWidth="1"/>
    <col min="296" max="296" width="4.59765625" style="3" customWidth="1"/>
    <col min="297" max="297" width="16.8984375" style="3" customWidth="1"/>
    <col min="298" max="298" width="2" style="3" customWidth="1"/>
    <col min="299" max="299" width="5.59765625" style="3" customWidth="1"/>
    <col min="300" max="300" width="9.5" style="3" customWidth="1"/>
    <col min="301" max="301" width="9.09765625" style="3" customWidth="1"/>
    <col min="302" max="302" width="5.09765625" style="3" customWidth="1"/>
    <col min="303" max="303" width="15.09765625" style="3" customWidth="1"/>
    <col min="304" max="304" width="1.3984375" style="3" customWidth="1"/>
    <col min="305" max="305" width="0.8984375" style="3" customWidth="1"/>
    <col min="306" max="306" width="2.5" style="3" customWidth="1"/>
    <col min="307" max="307" width="6.59765625" style="3" customWidth="1"/>
    <col min="308" max="308" width="6.5" style="3" customWidth="1"/>
    <col min="309" max="309" width="2.5" style="3" customWidth="1"/>
    <col min="310" max="310" width="6.09765625" style="3" customWidth="1"/>
    <col min="311" max="311" width="1" style="3" customWidth="1"/>
    <col min="312" max="312" width="6.09765625" style="3" customWidth="1"/>
    <col min="313" max="313" width="1.5" style="3" customWidth="1"/>
    <col min="314" max="314" width="0.8984375" style="3" customWidth="1"/>
    <col min="315" max="315" width="1.5" style="3" customWidth="1"/>
    <col min="316" max="316" width="7.09765625" style="3" customWidth="1"/>
    <col min="317" max="317" width="4.59765625" style="3" customWidth="1"/>
    <col min="318" max="318" width="16.8984375" style="3" customWidth="1"/>
    <col min="319" max="319" width="2" style="3" customWidth="1"/>
    <col min="320" max="320" width="5.59765625" style="3" customWidth="1"/>
    <col min="321" max="512" width="11" style="3"/>
    <col min="513" max="513" width="5" style="3" customWidth="1"/>
    <col min="514" max="514" width="9.5" style="3" customWidth="1"/>
    <col min="515" max="515" width="9.09765625" style="3" customWidth="1"/>
    <col min="516" max="516" width="5.09765625" style="3" customWidth="1"/>
    <col min="517" max="517" width="15.09765625" style="3" customWidth="1"/>
    <col min="518" max="518" width="1.3984375" style="3" customWidth="1"/>
    <col min="519" max="519" width="0.8984375" style="3" customWidth="1"/>
    <col min="520" max="520" width="2.5" style="3" customWidth="1"/>
    <col min="521" max="521" width="6.59765625" style="3" customWidth="1"/>
    <col min="522" max="522" width="6.5" style="3" customWidth="1"/>
    <col min="523" max="523" width="2.5" style="3" customWidth="1"/>
    <col min="524" max="524" width="6.09765625" style="3" customWidth="1"/>
    <col min="525" max="525" width="1" style="3" customWidth="1"/>
    <col min="526" max="526" width="6.09765625" style="3" customWidth="1"/>
    <col min="527" max="527" width="1.5" style="3" customWidth="1"/>
    <col min="528" max="528" width="0.8984375" style="3" customWidth="1"/>
    <col min="529" max="529" width="1.5" style="3" customWidth="1"/>
    <col min="530" max="530" width="7.09765625" style="3" customWidth="1"/>
    <col min="531" max="531" width="5.3984375" style="3" customWidth="1"/>
    <col min="532" max="532" width="16.8984375" style="3" customWidth="1"/>
    <col min="533" max="533" width="2" style="3" customWidth="1"/>
    <col min="534" max="534" width="5.59765625" style="3" customWidth="1"/>
    <col min="535" max="535" width="9.5" style="3" customWidth="1"/>
    <col min="536" max="536" width="9.09765625" style="3" customWidth="1"/>
    <col min="537" max="537" width="5.09765625" style="3" customWidth="1"/>
    <col min="538" max="538" width="15.09765625" style="3" customWidth="1"/>
    <col min="539" max="539" width="1.3984375" style="3" customWidth="1"/>
    <col min="540" max="540" width="0.8984375" style="3" customWidth="1"/>
    <col min="541" max="541" width="2.5" style="3" customWidth="1"/>
    <col min="542" max="542" width="6.59765625" style="3" customWidth="1"/>
    <col min="543" max="543" width="6.5" style="3" customWidth="1"/>
    <col min="544" max="544" width="2.5" style="3" customWidth="1"/>
    <col min="545" max="545" width="6.09765625" style="3" customWidth="1"/>
    <col min="546" max="546" width="1" style="3" customWidth="1"/>
    <col min="547" max="547" width="6.09765625" style="3" customWidth="1"/>
    <col min="548" max="548" width="1.5" style="3" customWidth="1"/>
    <col min="549" max="549" width="0.8984375" style="3" customWidth="1"/>
    <col min="550" max="550" width="1.5" style="3" customWidth="1"/>
    <col min="551" max="551" width="7.09765625" style="3" customWidth="1"/>
    <col min="552" max="552" width="4.59765625" style="3" customWidth="1"/>
    <col min="553" max="553" width="16.8984375" style="3" customWidth="1"/>
    <col min="554" max="554" width="2" style="3" customWidth="1"/>
    <col min="555" max="555" width="5.59765625" style="3" customWidth="1"/>
    <col min="556" max="556" width="9.5" style="3" customWidth="1"/>
    <col min="557" max="557" width="9.09765625" style="3" customWidth="1"/>
    <col min="558" max="558" width="5.09765625" style="3" customWidth="1"/>
    <col min="559" max="559" width="15.09765625" style="3" customWidth="1"/>
    <col min="560" max="560" width="1.3984375" style="3" customWidth="1"/>
    <col min="561" max="561" width="0.8984375" style="3" customWidth="1"/>
    <col min="562" max="562" width="2.5" style="3" customWidth="1"/>
    <col min="563" max="563" width="6.59765625" style="3" customWidth="1"/>
    <col min="564" max="564" width="6.5" style="3" customWidth="1"/>
    <col min="565" max="565" width="2.5" style="3" customWidth="1"/>
    <col min="566" max="566" width="6.09765625" style="3" customWidth="1"/>
    <col min="567" max="567" width="1" style="3" customWidth="1"/>
    <col min="568" max="568" width="6.09765625" style="3" customWidth="1"/>
    <col min="569" max="569" width="1.5" style="3" customWidth="1"/>
    <col min="570" max="570" width="0.8984375" style="3" customWidth="1"/>
    <col min="571" max="571" width="1.5" style="3" customWidth="1"/>
    <col min="572" max="572" width="7.09765625" style="3" customWidth="1"/>
    <col min="573" max="573" width="4.59765625" style="3" customWidth="1"/>
    <col min="574" max="574" width="16.8984375" style="3" customWidth="1"/>
    <col min="575" max="575" width="2" style="3" customWidth="1"/>
    <col min="576" max="576" width="5.59765625" style="3" customWidth="1"/>
    <col min="577" max="768" width="11" style="3"/>
    <col min="769" max="769" width="5" style="3" customWidth="1"/>
    <col min="770" max="770" width="9.5" style="3" customWidth="1"/>
    <col min="771" max="771" width="9.09765625" style="3" customWidth="1"/>
    <col min="772" max="772" width="5.09765625" style="3" customWidth="1"/>
    <col min="773" max="773" width="15.09765625" style="3" customWidth="1"/>
    <col min="774" max="774" width="1.3984375" style="3" customWidth="1"/>
    <col min="775" max="775" width="0.8984375" style="3" customWidth="1"/>
    <col min="776" max="776" width="2.5" style="3" customWidth="1"/>
    <col min="777" max="777" width="6.59765625" style="3" customWidth="1"/>
    <col min="778" max="778" width="6.5" style="3" customWidth="1"/>
    <col min="779" max="779" width="2.5" style="3" customWidth="1"/>
    <col min="780" max="780" width="6.09765625" style="3" customWidth="1"/>
    <col min="781" max="781" width="1" style="3" customWidth="1"/>
    <col min="782" max="782" width="6.09765625" style="3" customWidth="1"/>
    <col min="783" max="783" width="1.5" style="3" customWidth="1"/>
    <col min="784" max="784" width="0.8984375" style="3" customWidth="1"/>
    <col min="785" max="785" width="1.5" style="3" customWidth="1"/>
    <col min="786" max="786" width="7.09765625" style="3" customWidth="1"/>
    <col min="787" max="787" width="5.3984375" style="3" customWidth="1"/>
    <col min="788" max="788" width="16.8984375" style="3" customWidth="1"/>
    <col min="789" max="789" width="2" style="3" customWidth="1"/>
    <col min="790" max="790" width="5.59765625" style="3" customWidth="1"/>
    <col min="791" max="791" width="9.5" style="3" customWidth="1"/>
    <col min="792" max="792" width="9.09765625" style="3" customWidth="1"/>
    <col min="793" max="793" width="5.09765625" style="3" customWidth="1"/>
    <col min="794" max="794" width="15.09765625" style="3" customWidth="1"/>
    <col min="795" max="795" width="1.3984375" style="3" customWidth="1"/>
    <col min="796" max="796" width="0.8984375" style="3" customWidth="1"/>
    <col min="797" max="797" width="2.5" style="3" customWidth="1"/>
    <col min="798" max="798" width="6.59765625" style="3" customWidth="1"/>
    <col min="799" max="799" width="6.5" style="3" customWidth="1"/>
    <col min="800" max="800" width="2.5" style="3" customWidth="1"/>
    <col min="801" max="801" width="6.09765625" style="3" customWidth="1"/>
    <col min="802" max="802" width="1" style="3" customWidth="1"/>
    <col min="803" max="803" width="6.09765625" style="3" customWidth="1"/>
    <col min="804" max="804" width="1.5" style="3" customWidth="1"/>
    <col min="805" max="805" width="0.8984375" style="3" customWidth="1"/>
    <col min="806" max="806" width="1.5" style="3" customWidth="1"/>
    <col min="807" max="807" width="7.09765625" style="3" customWidth="1"/>
    <col min="808" max="808" width="4.59765625" style="3" customWidth="1"/>
    <col min="809" max="809" width="16.8984375" style="3" customWidth="1"/>
    <col min="810" max="810" width="2" style="3" customWidth="1"/>
    <col min="811" max="811" width="5.59765625" style="3" customWidth="1"/>
    <col min="812" max="812" width="9.5" style="3" customWidth="1"/>
    <col min="813" max="813" width="9.09765625" style="3" customWidth="1"/>
    <col min="814" max="814" width="5.09765625" style="3" customWidth="1"/>
    <col min="815" max="815" width="15.09765625" style="3" customWidth="1"/>
    <col min="816" max="816" width="1.3984375" style="3" customWidth="1"/>
    <col min="817" max="817" width="0.8984375" style="3" customWidth="1"/>
    <col min="818" max="818" width="2.5" style="3" customWidth="1"/>
    <col min="819" max="819" width="6.59765625" style="3" customWidth="1"/>
    <col min="820" max="820" width="6.5" style="3" customWidth="1"/>
    <col min="821" max="821" width="2.5" style="3" customWidth="1"/>
    <col min="822" max="822" width="6.09765625" style="3" customWidth="1"/>
    <col min="823" max="823" width="1" style="3" customWidth="1"/>
    <col min="824" max="824" width="6.09765625" style="3" customWidth="1"/>
    <col min="825" max="825" width="1.5" style="3" customWidth="1"/>
    <col min="826" max="826" width="0.8984375" style="3" customWidth="1"/>
    <col min="827" max="827" width="1.5" style="3" customWidth="1"/>
    <col min="828" max="828" width="7.09765625" style="3" customWidth="1"/>
    <col min="829" max="829" width="4.59765625" style="3" customWidth="1"/>
    <col min="830" max="830" width="16.8984375" style="3" customWidth="1"/>
    <col min="831" max="831" width="2" style="3" customWidth="1"/>
    <col min="832" max="832" width="5.59765625" style="3" customWidth="1"/>
    <col min="833" max="1024" width="11" style="3"/>
    <col min="1025" max="1025" width="5" style="3" customWidth="1"/>
    <col min="1026" max="1026" width="9.5" style="3" customWidth="1"/>
    <col min="1027" max="1027" width="9.09765625" style="3" customWidth="1"/>
    <col min="1028" max="1028" width="5.09765625" style="3" customWidth="1"/>
    <col min="1029" max="1029" width="15.09765625" style="3" customWidth="1"/>
    <col min="1030" max="1030" width="1.3984375" style="3" customWidth="1"/>
    <col min="1031" max="1031" width="0.8984375" style="3" customWidth="1"/>
    <col min="1032" max="1032" width="2.5" style="3" customWidth="1"/>
    <col min="1033" max="1033" width="6.59765625" style="3" customWidth="1"/>
    <col min="1034" max="1034" width="6.5" style="3" customWidth="1"/>
    <col min="1035" max="1035" width="2.5" style="3" customWidth="1"/>
    <col min="1036" max="1036" width="6.09765625" style="3" customWidth="1"/>
    <col min="1037" max="1037" width="1" style="3" customWidth="1"/>
    <col min="1038" max="1038" width="6.09765625" style="3" customWidth="1"/>
    <col min="1039" max="1039" width="1.5" style="3" customWidth="1"/>
    <col min="1040" max="1040" width="0.8984375" style="3" customWidth="1"/>
    <col min="1041" max="1041" width="1.5" style="3" customWidth="1"/>
    <col min="1042" max="1042" width="7.09765625" style="3" customWidth="1"/>
    <col min="1043" max="1043" width="5.3984375" style="3" customWidth="1"/>
    <col min="1044" max="1044" width="16.8984375" style="3" customWidth="1"/>
    <col min="1045" max="1045" width="2" style="3" customWidth="1"/>
    <col min="1046" max="1046" width="5.59765625" style="3" customWidth="1"/>
    <col min="1047" max="1047" width="9.5" style="3" customWidth="1"/>
    <col min="1048" max="1048" width="9.09765625" style="3" customWidth="1"/>
    <col min="1049" max="1049" width="5.09765625" style="3" customWidth="1"/>
    <col min="1050" max="1050" width="15.09765625" style="3" customWidth="1"/>
    <col min="1051" max="1051" width="1.3984375" style="3" customWidth="1"/>
    <col min="1052" max="1052" width="0.8984375" style="3" customWidth="1"/>
    <col min="1053" max="1053" width="2.5" style="3" customWidth="1"/>
    <col min="1054" max="1054" width="6.59765625" style="3" customWidth="1"/>
    <col min="1055" max="1055" width="6.5" style="3" customWidth="1"/>
    <col min="1056" max="1056" width="2.5" style="3" customWidth="1"/>
    <col min="1057" max="1057" width="6.09765625" style="3" customWidth="1"/>
    <col min="1058" max="1058" width="1" style="3" customWidth="1"/>
    <col min="1059" max="1059" width="6.09765625" style="3" customWidth="1"/>
    <col min="1060" max="1060" width="1.5" style="3" customWidth="1"/>
    <col min="1061" max="1061" width="0.8984375" style="3" customWidth="1"/>
    <col min="1062" max="1062" width="1.5" style="3" customWidth="1"/>
    <col min="1063" max="1063" width="7.09765625" style="3" customWidth="1"/>
    <col min="1064" max="1064" width="4.59765625" style="3" customWidth="1"/>
    <col min="1065" max="1065" width="16.8984375" style="3" customWidth="1"/>
    <col min="1066" max="1066" width="2" style="3" customWidth="1"/>
    <col min="1067" max="1067" width="5.59765625" style="3" customWidth="1"/>
    <col min="1068" max="1068" width="9.5" style="3" customWidth="1"/>
    <col min="1069" max="1069" width="9.09765625" style="3" customWidth="1"/>
    <col min="1070" max="1070" width="5.09765625" style="3" customWidth="1"/>
    <col min="1071" max="1071" width="15.09765625" style="3" customWidth="1"/>
    <col min="1072" max="1072" width="1.3984375" style="3" customWidth="1"/>
    <col min="1073" max="1073" width="0.8984375" style="3" customWidth="1"/>
    <col min="1074" max="1074" width="2.5" style="3" customWidth="1"/>
    <col min="1075" max="1075" width="6.59765625" style="3" customWidth="1"/>
    <col min="1076" max="1076" width="6.5" style="3" customWidth="1"/>
    <col min="1077" max="1077" width="2.5" style="3" customWidth="1"/>
    <col min="1078" max="1078" width="6.09765625" style="3" customWidth="1"/>
    <col min="1079" max="1079" width="1" style="3" customWidth="1"/>
    <col min="1080" max="1080" width="6.09765625" style="3" customWidth="1"/>
    <col min="1081" max="1081" width="1.5" style="3" customWidth="1"/>
    <col min="1082" max="1082" width="0.8984375" style="3" customWidth="1"/>
    <col min="1083" max="1083" width="1.5" style="3" customWidth="1"/>
    <col min="1084" max="1084" width="7.09765625" style="3" customWidth="1"/>
    <col min="1085" max="1085" width="4.59765625" style="3" customWidth="1"/>
    <col min="1086" max="1086" width="16.8984375" style="3" customWidth="1"/>
    <col min="1087" max="1087" width="2" style="3" customWidth="1"/>
    <col min="1088" max="1088" width="5.59765625" style="3" customWidth="1"/>
    <col min="1089" max="1280" width="11" style="3"/>
    <col min="1281" max="1281" width="5" style="3" customWidth="1"/>
    <col min="1282" max="1282" width="9.5" style="3" customWidth="1"/>
    <col min="1283" max="1283" width="9.09765625" style="3" customWidth="1"/>
    <col min="1284" max="1284" width="5.09765625" style="3" customWidth="1"/>
    <col min="1285" max="1285" width="15.09765625" style="3" customWidth="1"/>
    <col min="1286" max="1286" width="1.3984375" style="3" customWidth="1"/>
    <col min="1287" max="1287" width="0.8984375" style="3" customWidth="1"/>
    <col min="1288" max="1288" width="2.5" style="3" customWidth="1"/>
    <col min="1289" max="1289" width="6.59765625" style="3" customWidth="1"/>
    <col min="1290" max="1290" width="6.5" style="3" customWidth="1"/>
    <col min="1291" max="1291" width="2.5" style="3" customWidth="1"/>
    <col min="1292" max="1292" width="6.09765625" style="3" customWidth="1"/>
    <col min="1293" max="1293" width="1" style="3" customWidth="1"/>
    <col min="1294" max="1294" width="6.09765625" style="3" customWidth="1"/>
    <col min="1295" max="1295" width="1.5" style="3" customWidth="1"/>
    <col min="1296" max="1296" width="0.8984375" style="3" customWidth="1"/>
    <col min="1297" max="1297" width="1.5" style="3" customWidth="1"/>
    <col min="1298" max="1298" width="7.09765625" style="3" customWidth="1"/>
    <col min="1299" max="1299" width="5.3984375" style="3" customWidth="1"/>
    <col min="1300" max="1300" width="16.8984375" style="3" customWidth="1"/>
    <col min="1301" max="1301" width="2" style="3" customWidth="1"/>
    <col min="1302" max="1302" width="5.59765625" style="3" customWidth="1"/>
    <col min="1303" max="1303" width="9.5" style="3" customWidth="1"/>
    <col min="1304" max="1304" width="9.09765625" style="3" customWidth="1"/>
    <col min="1305" max="1305" width="5.09765625" style="3" customWidth="1"/>
    <col min="1306" max="1306" width="15.09765625" style="3" customWidth="1"/>
    <col min="1307" max="1307" width="1.3984375" style="3" customWidth="1"/>
    <col min="1308" max="1308" width="0.8984375" style="3" customWidth="1"/>
    <col min="1309" max="1309" width="2.5" style="3" customWidth="1"/>
    <col min="1310" max="1310" width="6.59765625" style="3" customWidth="1"/>
    <col min="1311" max="1311" width="6.5" style="3" customWidth="1"/>
    <col min="1312" max="1312" width="2.5" style="3" customWidth="1"/>
    <col min="1313" max="1313" width="6.09765625" style="3" customWidth="1"/>
    <col min="1314" max="1314" width="1" style="3" customWidth="1"/>
    <col min="1315" max="1315" width="6.09765625" style="3" customWidth="1"/>
    <col min="1316" max="1316" width="1.5" style="3" customWidth="1"/>
    <col min="1317" max="1317" width="0.8984375" style="3" customWidth="1"/>
    <col min="1318" max="1318" width="1.5" style="3" customWidth="1"/>
    <col min="1319" max="1319" width="7.09765625" style="3" customWidth="1"/>
    <col min="1320" max="1320" width="4.59765625" style="3" customWidth="1"/>
    <col min="1321" max="1321" width="16.8984375" style="3" customWidth="1"/>
    <col min="1322" max="1322" width="2" style="3" customWidth="1"/>
    <col min="1323" max="1323" width="5.59765625" style="3" customWidth="1"/>
    <col min="1324" max="1324" width="9.5" style="3" customWidth="1"/>
    <col min="1325" max="1325" width="9.09765625" style="3" customWidth="1"/>
    <col min="1326" max="1326" width="5.09765625" style="3" customWidth="1"/>
    <col min="1327" max="1327" width="15.09765625" style="3" customWidth="1"/>
    <col min="1328" max="1328" width="1.3984375" style="3" customWidth="1"/>
    <col min="1329" max="1329" width="0.8984375" style="3" customWidth="1"/>
    <col min="1330" max="1330" width="2.5" style="3" customWidth="1"/>
    <col min="1331" max="1331" width="6.59765625" style="3" customWidth="1"/>
    <col min="1332" max="1332" width="6.5" style="3" customWidth="1"/>
    <col min="1333" max="1333" width="2.5" style="3" customWidth="1"/>
    <col min="1334" max="1334" width="6.09765625" style="3" customWidth="1"/>
    <col min="1335" max="1335" width="1" style="3" customWidth="1"/>
    <col min="1336" max="1336" width="6.09765625" style="3" customWidth="1"/>
    <col min="1337" max="1337" width="1.5" style="3" customWidth="1"/>
    <col min="1338" max="1338" width="0.8984375" style="3" customWidth="1"/>
    <col min="1339" max="1339" width="1.5" style="3" customWidth="1"/>
    <col min="1340" max="1340" width="7.09765625" style="3" customWidth="1"/>
    <col min="1341" max="1341" width="4.59765625" style="3" customWidth="1"/>
    <col min="1342" max="1342" width="16.8984375" style="3" customWidth="1"/>
    <col min="1343" max="1343" width="2" style="3" customWidth="1"/>
    <col min="1344" max="1344" width="5.59765625" style="3" customWidth="1"/>
    <col min="1345" max="1536" width="11" style="3"/>
    <col min="1537" max="1537" width="5" style="3" customWidth="1"/>
    <col min="1538" max="1538" width="9.5" style="3" customWidth="1"/>
    <col min="1539" max="1539" width="9.09765625" style="3" customWidth="1"/>
    <col min="1540" max="1540" width="5.09765625" style="3" customWidth="1"/>
    <col min="1541" max="1541" width="15.09765625" style="3" customWidth="1"/>
    <col min="1542" max="1542" width="1.3984375" style="3" customWidth="1"/>
    <col min="1543" max="1543" width="0.8984375" style="3" customWidth="1"/>
    <col min="1544" max="1544" width="2.5" style="3" customWidth="1"/>
    <col min="1545" max="1545" width="6.59765625" style="3" customWidth="1"/>
    <col min="1546" max="1546" width="6.5" style="3" customWidth="1"/>
    <col min="1547" max="1547" width="2.5" style="3" customWidth="1"/>
    <col min="1548" max="1548" width="6.09765625" style="3" customWidth="1"/>
    <col min="1549" max="1549" width="1" style="3" customWidth="1"/>
    <col min="1550" max="1550" width="6.09765625" style="3" customWidth="1"/>
    <col min="1551" max="1551" width="1.5" style="3" customWidth="1"/>
    <col min="1552" max="1552" width="0.8984375" style="3" customWidth="1"/>
    <col min="1553" max="1553" width="1.5" style="3" customWidth="1"/>
    <col min="1554" max="1554" width="7.09765625" style="3" customWidth="1"/>
    <col min="1555" max="1555" width="5.3984375" style="3" customWidth="1"/>
    <col min="1556" max="1556" width="16.8984375" style="3" customWidth="1"/>
    <col min="1557" max="1557" width="2" style="3" customWidth="1"/>
    <col min="1558" max="1558" width="5.59765625" style="3" customWidth="1"/>
    <col min="1559" max="1559" width="9.5" style="3" customWidth="1"/>
    <col min="1560" max="1560" width="9.09765625" style="3" customWidth="1"/>
    <col min="1561" max="1561" width="5.09765625" style="3" customWidth="1"/>
    <col min="1562" max="1562" width="15.09765625" style="3" customWidth="1"/>
    <col min="1563" max="1563" width="1.3984375" style="3" customWidth="1"/>
    <col min="1564" max="1564" width="0.8984375" style="3" customWidth="1"/>
    <col min="1565" max="1565" width="2.5" style="3" customWidth="1"/>
    <col min="1566" max="1566" width="6.59765625" style="3" customWidth="1"/>
    <col min="1567" max="1567" width="6.5" style="3" customWidth="1"/>
    <col min="1568" max="1568" width="2.5" style="3" customWidth="1"/>
    <col min="1569" max="1569" width="6.09765625" style="3" customWidth="1"/>
    <col min="1570" max="1570" width="1" style="3" customWidth="1"/>
    <col min="1571" max="1571" width="6.09765625" style="3" customWidth="1"/>
    <col min="1572" max="1572" width="1.5" style="3" customWidth="1"/>
    <col min="1573" max="1573" width="0.8984375" style="3" customWidth="1"/>
    <col min="1574" max="1574" width="1.5" style="3" customWidth="1"/>
    <col min="1575" max="1575" width="7.09765625" style="3" customWidth="1"/>
    <col min="1576" max="1576" width="4.59765625" style="3" customWidth="1"/>
    <col min="1577" max="1577" width="16.8984375" style="3" customWidth="1"/>
    <col min="1578" max="1578" width="2" style="3" customWidth="1"/>
    <col min="1579" max="1579" width="5.59765625" style="3" customWidth="1"/>
    <col min="1580" max="1580" width="9.5" style="3" customWidth="1"/>
    <col min="1581" max="1581" width="9.09765625" style="3" customWidth="1"/>
    <col min="1582" max="1582" width="5.09765625" style="3" customWidth="1"/>
    <col min="1583" max="1583" width="15.09765625" style="3" customWidth="1"/>
    <col min="1584" max="1584" width="1.3984375" style="3" customWidth="1"/>
    <col min="1585" max="1585" width="0.8984375" style="3" customWidth="1"/>
    <col min="1586" max="1586" width="2.5" style="3" customWidth="1"/>
    <col min="1587" max="1587" width="6.59765625" style="3" customWidth="1"/>
    <col min="1588" max="1588" width="6.5" style="3" customWidth="1"/>
    <col min="1589" max="1589" width="2.5" style="3" customWidth="1"/>
    <col min="1590" max="1590" width="6.09765625" style="3" customWidth="1"/>
    <col min="1591" max="1591" width="1" style="3" customWidth="1"/>
    <col min="1592" max="1592" width="6.09765625" style="3" customWidth="1"/>
    <col min="1593" max="1593" width="1.5" style="3" customWidth="1"/>
    <col min="1594" max="1594" width="0.8984375" style="3" customWidth="1"/>
    <col min="1595" max="1595" width="1.5" style="3" customWidth="1"/>
    <col min="1596" max="1596" width="7.09765625" style="3" customWidth="1"/>
    <col min="1597" max="1597" width="4.59765625" style="3" customWidth="1"/>
    <col min="1598" max="1598" width="16.8984375" style="3" customWidth="1"/>
    <col min="1599" max="1599" width="2" style="3" customWidth="1"/>
    <col min="1600" max="1600" width="5.59765625" style="3" customWidth="1"/>
    <col min="1601" max="1792" width="11" style="3"/>
    <col min="1793" max="1793" width="5" style="3" customWidth="1"/>
    <col min="1794" max="1794" width="9.5" style="3" customWidth="1"/>
    <col min="1795" max="1795" width="9.09765625" style="3" customWidth="1"/>
    <col min="1796" max="1796" width="5.09765625" style="3" customWidth="1"/>
    <col min="1797" max="1797" width="15.09765625" style="3" customWidth="1"/>
    <col min="1798" max="1798" width="1.3984375" style="3" customWidth="1"/>
    <col min="1799" max="1799" width="0.8984375" style="3" customWidth="1"/>
    <col min="1800" max="1800" width="2.5" style="3" customWidth="1"/>
    <col min="1801" max="1801" width="6.59765625" style="3" customWidth="1"/>
    <col min="1802" max="1802" width="6.5" style="3" customWidth="1"/>
    <col min="1803" max="1803" width="2.5" style="3" customWidth="1"/>
    <col min="1804" max="1804" width="6.09765625" style="3" customWidth="1"/>
    <col min="1805" max="1805" width="1" style="3" customWidth="1"/>
    <col min="1806" max="1806" width="6.09765625" style="3" customWidth="1"/>
    <col min="1807" max="1807" width="1.5" style="3" customWidth="1"/>
    <col min="1808" max="1808" width="0.8984375" style="3" customWidth="1"/>
    <col min="1809" max="1809" width="1.5" style="3" customWidth="1"/>
    <col min="1810" max="1810" width="7.09765625" style="3" customWidth="1"/>
    <col min="1811" max="1811" width="5.3984375" style="3" customWidth="1"/>
    <col min="1812" max="1812" width="16.8984375" style="3" customWidth="1"/>
    <col min="1813" max="1813" width="2" style="3" customWidth="1"/>
    <col min="1814" max="1814" width="5.59765625" style="3" customWidth="1"/>
    <col min="1815" max="1815" width="9.5" style="3" customWidth="1"/>
    <col min="1816" max="1816" width="9.09765625" style="3" customWidth="1"/>
    <col min="1817" max="1817" width="5.09765625" style="3" customWidth="1"/>
    <col min="1818" max="1818" width="15.09765625" style="3" customWidth="1"/>
    <col min="1819" max="1819" width="1.3984375" style="3" customWidth="1"/>
    <col min="1820" max="1820" width="0.8984375" style="3" customWidth="1"/>
    <col min="1821" max="1821" width="2.5" style="3" customWidth="1"/>
    <col min="1822" max="1822" width="6.59765625" style="3" customWidth="1"/>
    <col min="1823" max="1823" width="6.5" style="3" customWidth="1"/>
    <col min="1824" max="1824" width="2.5" style="3" customWidth="1"/>
    <col min="1825" max="1825" width="6.09765625" style="3" customWidth="1"/>
    <col min="1826" max="1826" width="1" style="3" customWidth="1"/>
    <col min="1827" max="1827" width="6.09765625" style="3" customWidth="1"/>
    <col min="1828" max="1828" width="1.5" style="3" customWidth="1"/>
    <col min="1829" max="1829" width="0.8984375" style="3" customWidth="1"/>
    <col min="1830" max="1830" width="1.5" style="3" customWidth="1"/>
    <col min="1831" max="1831" width="7.09765625" style="3" customWidth="1"/>
    <col min="1832" max="1832" width="4.59765625" style="3" customWidth="1"/>
    <col min="1833" max="1833" width="16.8984375" style="3" customWidth="1"/>
    <col min="1834" max="1834" width="2" style="3" customWidth="1"/>
    <col min="1835" max="1835" width="5.59765625" style="3" customWidth="1"/>
    <col min="1836" max="1836" width="9.5" style="3" customWidth="1"/>
    <col min="1837" max="1837" width="9.09765625" style="3" customWidth="1"/>
    <col min="1838" max="1838" width="5.09765625" style="3" customWidth="1"/>
    <col min="1839" max="1839" width="15.09765625" style="3" customWidth="1"/>
    <col min="1840" max="1840" width="1.3984375" style="3" customWidth="1"/>
    <col min="1841" max="1841" width="0.8984375" style="3" customWidth="1"/>
    <col min="1842" max="1842" width="2.5" style="3" customWidth="1"/>
    <col min="1843" max="1843" width="6.59765625" style="3" customWidth="1"/>
    <col min="1844" max="1844" width="6.5" style="3" customWidth="1"/>
    <col min="1845" max="1845" width="2.5" style="3" customWidth="1"/>
    <col min="1846" max="1846" width="6.09765625" style="3" customWidth="1"/>
    <col min="1847" max="1847" width="1" style="3" customWidth="1"/>
    <col min="1848" max="1848" width="6.09765625" style="3" customWidth="1"/>
    <col min="1849" max="1849" width="1.5" style="3" customWidth="1"/>
    <col min="1850" max="1850" width="0.8984375" style="3" customWidth="1"/>
    <col min="1851" max="1851" width="1.5" style="3" customWidth="1"/>
    <col min="1852" max="1852" width="7.09765625" style="3" customWidth="1"/>
    <col min="1853" max="1853" width="4.59765625" style="3" customWidth="1"/>
    <col min="1854" max="1854" width="16.8984375" style="3" customWidth="1"/>
    <col min="1855" max="1855" width="2" style="3" customWidth="1"/>
    <col min="1856" max="1856" width="5.59765625" style="3" customWidth="1"/>
    <col min="1857" max="2048" width="11" style="3"/>
    <col min="2049" max="2049" width="5" style="3" customWidth="1"/>
    <col min="2050" max="2050" width="9.5" style="3" customWidth="1"/>
    <col min="2051" max="2051" width="9.09765625" style="3" customWidth="1"/>
    <col min="2052" max="2052" width="5.09765625" style="3" customWidth="1"/>
    <col min="2053" max="2053" width="15.09765625" style="3" customWidth="1"/>
    <col min="2054" max="2054" width="1.3984375" style="3" customWidth="1"/>
    <col min="2055" max="2055" width="0.8984375" style="3" customWidth="1"/>
    <col min="2056" max="2056" width="2.5" style="3" customWidth="1"/>
    <col min="2057" max="2057" width="6.59765625" style="3" customWidth="1"/>
    <col min="2058" max="2058" width="6.5" style="3" customWidth="1"/>
    <col min="2059" max="2059" width="2.5" style="3" customWidth="1"/>
    <col min="2060" max="2060" width="6.09765625" style="3" customWidth="1"/>
    <col min="2061" max="2061" width="1" style="3" customWidth="1"/>
    <col min="2062" max="2062" width="6.09765625" style="3" customWidth="1"/>
    <col min="2063" max="2063" width="1.5" style="3" customWidth="1"/>
    <col min="2064" max="2064" width="0.8984375" style="3" customWidth="1"/>
    <col min="2065" max="2065" width="1.5" style="3" customWidth="1"/>
    <col min="2066" max="2066" width="7.09765625" style="3" customWidth="1"/>
    <col min="2067" max="2067" width="5.3984375" style="3" customWidth="1"/>
    <col min="2068" max="2068" width="16.8984375" style="3" customWidth="1"/>
    <col min="2069" max="2069" width="2" style="3" customWidth="1"/>
    <col min="2070" max="2070" width="5.59765625" style="3" customWidth="1"/>
    <col min="2071" max="2071" width="9.5" style="3" customWidth="1"/>
    <col min="2072" max="2072" width="9.09765625" style="3" customWidth="1"/>
    <col min="2073" max="2073" width="5.09765625" style="3" customWidth="1"/>
    <col min="2074" max="2074" width="15.09765625" style="3" customWidth="1"/>
    <col min="2075" max="2075" width="1.3984375" style="3" customWidth="1"/>
    <col min="2076" max="2076" width="0.8984375" style="3" customWidth="1"/>
    <col min="2077" max="2077" width="2.5" style="3" customWidth="1"/>
    <col min="2078" max="2078" width="6.59765625" style="3" customWidth="1"/>
    <col min="2079" max="2079" width="6.5" style="3" customWidth="1"/>
    <col min="2080" max="2080" width="2.5" style="3" customWidth="1"/>
    <col min="2081" max="2081" width="6.09765625" style="3" customWidth="1"/>
    <col min="2082" max="2082" width="1" style="3" customWidth="1"/>
    <col min="2083" max="2083" width="6.09765625" style="3" customWidth="1"/>
    <col min="2084" max="2084" width="1.5" style="3" customWidth="1"/>
    <col min="2085" max="2085" width="0.8984375" style="3" customWidth="1"/>
    <col min="2086" max="2086" width="1.5" style="3" customWidth="1"/>
    <col min="2087" max="2087" width="7.09765625" style="3" customWidth="1"/>
    <col min="2088" max="2088" width="4.59765625" style="3" customWidth="1"/>
    <col min="2089" max="2089" width="16.8984375" style="3" customWidth="1"/>
    <col min="2090" max="2090" width="2" style="3" customWidth="1"/>
    <col min="2091" max="2091" width="5.59765625" style="3" customWidth="1"/>
    <col min="2092" max="2092" width="9.5" style="3" customWidth="1"/>
    <col min="2093" max="2093" width="9.09765625" style="3" customWidth="1"/>
    <col min="2094" max="2094" width="5.09765625" style="3" customWidth="1"/>
    <col min="2095" max="2095" width="15.09765625" style="3" customWidth="1"/>
    <col min="2096" max="2096" width="1.3984375" style="3" customWidth="1"/>
    <col min="2097" max="2097" width="0.8984375" style="3" customWidth="1"/>
    <col min="2098" max="2098" width="2.5" style="3" customWidth="1"/>
    <col min="2099" max="2099" width="6.59765625" style="3" customWidth="1"/>
    <col min="2100" max="2100" width="6.5" style="3" customWidth="1"/>
    <col min="2101" max="2101" width="2.5" style="3" customWidth="1"/>
    <col min="2102" max="2102" width="6.09765625" style="3" customWidth="1"/>
    <col min="2103" max="2103" width="1" style="3" customWidth="1"/>
    <col min="2104" max="2104" width="6.09765625" style="3" customWidth="1"/>
    <col min="2105" max="2105" width="1.5" style="3" customWidth="1"/>
    <col min="2106" max="2106" width="0.8984375" style="3" customWidth="1"/>
    <col min="2107" max="2107" width="1.5" style="3" customWidth="1"/>
    <col min="2108" max="2108" width="7.09765625" style="3" customWidth="1"/>
    <col min="2109" max="2109" width="4.59765625" style="3" customWidth="1"/>
    <col min="2110" max="2110" width="16.8984375" style="3" customWidth="1"/>
    <col min="2111" max="2111" width="2" style="3" customWidth="1"/>
    <col min="2112" max="2112" width="5.59765625" style="3" customWidth="1"/>
    <col min="2113" max="2304" width="11" style="3"/>
    <col min="2305" max="2305" width="5" style="3" customWidth="1"/>
    <col min="2306" max="2306" width="9.5" style="3" customWidth="1"/>
    <col min="2307" max="2307" width="9.09765625" style="3" customWidth="1"/>
    <col min="2308" max="2308" width="5.09765625" style="3" customWidth="1"/>
    <col min="2309" max="2309" width="15.09765625" style="3" customWidth="1"/>
    <col min="2310" max="2310" width="1.3984375" style="3" customWidth="1"/>
    <col min="2311" max="2311" width="0.8984375" style="3" customWidth="1"/>
    <col min="2312" max="2312" width="2.5" style="3" customWidth="1"/>
    <col min="2313" max="2313" width="6.59765625" style="3" customWidth="1"/>
    <col min="2314" max="2314" width="6.5" style="3" customWidth="1"/>
    <col min="2315" max="2315" width="2.5" style="3" customWidth="1"/>
    <col min="2316" max="2316" width="6.09765625" style="3" customWidth="1"/>
    <col min="2317" max="2317" width="1" style="3" customWidth="1"/>
    <col min="2318" max="2318" width="6.09765625" style="3" customWidth="1"/>
    <col min="2319" max="2319" width="1.5" style="3" customWidth="1"/>
    <col min="2320" max="2320" width="0.8984375" style="3" customWidth="1"/>
    <col min="2321" max="2321" width="1.5" style="3" customWidth="1"/>
    <col min="2322" max="2322" width="7.09765625" style="3" customWidth="1"/>
    <col min="2323" max="2323" width="5.3984375" style="3" customWidth="1"/>
    <col min="2324" max="2324" width="16.8984375" style="3" customWidth="1"/>
    <col min="2325" max="2325" width="2" style="3" customWidth="1"/>
    <col min="2326" max="2326" width="5.59765625" style="3" customWidth="1"/>
    <col min="2327" max="2327" width="9.5" style="3" customWidth="1"/>
    <col min="2328" max="2328" width="9.09765625" style="3" customWidth="1"/>
    <col min="2329" max="2329" width="5.09765625" style="3" customWidth="1"/>
    <col min="2330" max="2330" width="15.09765625" style="3" customWidth="1"/>
    <col min="2331" max="2331" width="1.3984375" style="3" customWidth="1"/>
    <col min="2332" max="2332" width="0.8984375" style="3" customWidth="1"/>
    <col min="2333" max="2333" width="2.5" style="3" customWidth="1"/>
    <col min="2334" max="2334" width="6.59765625" style="3" customWidth="1"/>
    <col min="2335" max="2335" width="6.5" style="3" customWidth="1"/>
    <col min="2336" max="2336" width="2.5" style="3" customWidth="1"/>
    <col min="2337" max="2337" width="6.09765625" style="3" customWidth="1"/>
    <col min="2338" max="2338" width="1" style="3" customWidth="1"/>
    <col min="2339" max="2339" width="6.09765625" style="3" customWidth="1"/>
    <col min="2340" max="2340" width="1.5" style="3" customWidth="1"/>
    <col min="2341" max="2341" width="0.8984375" style="3" customWidth="1"/>
    <col min="2342" max="2342" width="1.5" style="3" customWidth="1"/>
    <col min="2343" max="2343" width="7.09765625" style="3" customWidth="1"/>
    <col min="2344" max="2344" width="4.59765625" style="3" customWidth="1"/>
    <col min="2345" max="2345" width="16.8984375" style="3" customWidth="1"/>
    <col min="2346" max="2346" width="2" style="3" customWidth="1"/>
    <col min="2347" max="2347" width="5.59765625" style="3" customWidth="1"/>
    <col min="2348" max="2348" width="9.5" style="3" customWidth="1"/>
    <col min="2349" max="2349" width="9.09765625" style="3" customWidth="1"/>
    <col min="2350" max="2350" width="5.09765625" style="3" customWidth="1"/>
    <col min="2351" max="2351" width="15.09765625" style="3" customWidth="1"/>
    <col min="2352" max="2352" width="1.3984375" style="3" customWidth="1"/>
    <col min="2353" max="2353" width="0.8984375" style="3" customWidth="1"/>
    <col min="2354" max="2354" width="2.5" style="3" customWidth="1"/>
    <col min="2355" max="2355" width="6.59765625" style="3" customWidth="1"/>
    <col min="2356" max="2356" width="6.5" style="3" customWidth="1"/>
    <col min="2357" max="2357" width="2.5" style="3" customWidth="1"/>
    <col min="2358" max="2358" width="6.09765625" style="3" customWidth="1"/>
    <col min="2359" max="2359" width="1" style="3" customWidth="1"/>
    <col min="2360" max="2360" width="6.09765625" style="3" customWidth="1"/>
    <col min="2361" max="2361" width="1.5" style="3" customWidth="1"/>
    <col min="2362" max="2362" width="0.8984375" style="3" customWidth="1"/>
    <col min="2363" max="2363" width="1.5" style="3" customWidth="1"/>
    <col min="2364" max="2364" width="7.09765625" style="3" customWidth="1"/>
    <col min="2365" max="2365" width="4.59765625" style="3" customWidth="1"/>
    <col min="2366" max="2366" width="16.8984375" style="3" customWidth="1"/>
    <col min="2367" max="2367" width="2" style="3" customWidth="1"/>
    <col min="2368" max="2368" width="5.59765625" style="3" customWidth="1"/>
    <col min="2369" max="2560" width="11" style="3"/>
    <col min="2561" max="2561" width="5" style="3" customWidth="1"/>
    <col min="2562" max="2562" width="9.5" style="3" customWidth="1"/>
    <col min="2563" max="2563" width="9.09765625" style="3" customWidth="1"/>
    <col min="2564" max="2564" width="5.09765625" style="3" customWidth="1"/>
    <col min="2565" max="2565" width="15.09765625" style="3" customWidth="1"/>
    <col min="2566" max="2566" width="1.3984375" style="3" customWidth="1"/>
    <col min="2567" max="2567" width="0.8984375" style="3" customWidth="1"/>
    <col min="2568" max="2568" width="2.5" style="3" customWidth="1"/>
    <col min="2569" max="2569" width="6.59765625" style="3" customWidth="1"/>
    <col min="2570" max="2570" width="6.5" style="3" customWidth="1"/>
    <col min="2571" max="2571" width="2.5" style="3" customWidth="1"/>
    <col min="2572" max="2572" width="6.09765625" style="3" customWidth="1"/>
    <col min="2573" max="2573" width="1" style="3" customWidth="1"/>
    <col min="2574" max="2574" width="6.09765625" style="3" customWidth="1"/>
    <col min="2575" max="2575" width="1.5" style="3" customWidth="1"/>
    <col min="2576" max="2576" width="0.8984375" style="3" customWidth="1"/>
    <col min="2577" max="2577" width="1.5" style="3" customWidth="1"/>
    <col min="2578" max="2578" width="7.09765625" style="3" customWidth="1"/>
    <col min="2579" max="2579" width="5.3984375" style="3" customWidth="1"/>
    <col min="2580" max="2580" width="16.8984375" style="3" customWidth="1"/>
    <col min="2581" max="2581" width="2" style="3" customWidth="1"/>
    <col min="2582" max="2582" width="5.59765625" style="3" customWidth="1"/>
    <col min="2583" max="2583" width="9.5" style="3" customWidth="1"/>
    <col min="2584" max="2584" width="9.09765625" style="3" customWidth="1"/>
    <col min="2585" max="2585" width="5.09765625" style="3" customWidth="1"/>
    <col min="2586" max="2586" width="15.09765625" style="3" customWidth="1"/>
    <col min="2587" max="2587" width="1.3984375" style="3" customWidth="1"/>
    <col min="2588" max="2588" width="0.8984375" style="3" customWidth="1"/>
    <col min="2589" max="2589" width="2.5" style="3" customWidth="1"/>
    <col min="2590" max="2590" width="6.59765625" style="3" customWidth="1"/>
    <col min="2591" max="2591" width="6.5" style="3" customWidth="1"/>
    <col min="2592" max="2592" width="2.5" style="3" customWidth="1"/>
    <col min="2593" max="2593" width="6.09765625" style="3" customWidth="1"/>
    <col min="2594" max="2594" width="1" style="3" customWidth="1"/>
    <col min="2595" max="2595" width="6.09765625" style="3" customWidth="1"/>
    <col min="2596" max="2596" width="1.5" style="3" customWidth="1"/>
    <col min="2597" max="2597" width="0.8984375" style="3" customWidth="1"/>
    <col min="2598" max="2598" width="1.5" style="3" customWidth="1"/>
    <col min="2599" max="2599" width="7.09765625" style="3" customWidth="1"/>
    <col min="2600" max="2600" width="4.59765625" style="3" customWidth="1"/>
    <col min="2601" max="2601" width="16.8984375" style="3" customWidth="1"/>
    <col min="2602" max="2602" width="2" style="3" customWidth="1"/>
    <col min="2603" max="2603" width="5.59765625" style="3" customWidth="1"/>
    <col min="2604" max="2604" width="9.5" style="3" customWidth="1"/>
    <col min="2605" max="2605" width="9.09765625" style="3" customWidth="1"/>
    <col min="2606" max="2606" width="5.09765625" style="3" customWidth="1"/>
    <col min="2607" max="2607" width="15.09765625" style="3" customWidth="1"/>
    <col min="2608" max="2608" width="1.3984375" style="3" customWidth="1"/>
    <col min="2609" max="2609" width="0.8984375" style="3" customWidth="1"/>
    <col min="2610" max="2610" width="2.5" style="3" customWidth="1"/>
    <col min="2611" max="2611" width="6.59765625" style="3" customWidth="1"/>
    <col min="2612" max="2612" width="6.5" style="3" customWidth="1"/>
    <col min="2613" max="2613" width="2.5" style="3" customWidth="1"/>
    <col min="2614" max="2614" width="6.09765625" style="3" customWidth="1"/>
    <col min="2615" max="2615" width="1" style="3" customWidth="1"/>
    <col min="2616" max="2616" width="6.09765625" style="3" customWidth="1"/>
    <col min="2617" max="2617" width="1.5" style="3" customWidth="1"/>
    <col min="2618" max="2618" width="0.8984375" style="3" customWidth="1"/>
    <col min="2619" max="2619" width="1.5" style="3" customWidth="1"/>
    <col min="2620" max="2620" width="7.09765625" style="3" customWidth="1"/>
    <col min="2621" max="2621" width="4.59765625" style="3" customWidth="1"/>
    <col min="2622" max="2622" width="16.8984375" style="3" customWidth="1"/>
    <col min="2623" max="2623" width="2" style="3" customWidth="1"/>
    <col min="2624" max="2624" width="5.59765625" style="3" customWidth="1"/>
    <col min="2625" max="2816" width="11" style="3"/>
    <col min="2817" max="2817" width="5" style="3" customWidth="1"/>
    <col min="2818" max="2818" width="9.5" style="3" customWidth="1"/>
    <col min="2819" max="2819" width="9.09765625" style="3" customWidth="1"/>
    <col min="2820" max="2820" width="5.09765625" style="3" customWidth="1"/>
    <col min="2821" max="2821" width="15.09765625" style="3" customWidth="1"/>
    <col min="2822" max="2822" width="1.3984375" style="3" customWidth="1"/>
    <col min="2823" max="2823" width="0.8984375" style="3" customWidth="1"/>
    <col min="2824" max="2824" width="2.5" style="3" customWidth="1"/>
    <col min="2825" max="2825" width="6.59765625" style="3" customWidth="1"/>
    <col min="2826" max="2826" width="6.5" style="3" customWidth="1"/>
    <col min="2827" max="2827" width="2.5" style="3" customWidth="1"/>
    <col min="2828" max="2828" width="6.09765625" style="3" customWidth="1"/>
    <col min="2829" max="2829" width="1" style="3" customWidth="1"/>
    <col min="2830" max="2830" width="6.09765625" style="3" customWidth="1"/>
    <col min="2831" max="2831" width="1.5" style="3" customWidth="1"/>
    <col min="2832" max="2832" width="0.8984375" style="3" customWidth="1"/>
    <col min="2833" max="2833" width="1.5" style="3" customWidth="1"/>
    <col min="2834" max="2834" width="7.09765625" style="3" customWidth="1"/>
    <col min="2835" max="2835" width="5.3984375" style="3" customWidth="1"/>
    <col min="2836" max="2836" width="16.8984375" style="3" customWidth="1"/>
    <col min="2837" max="2837" width="2" style="3" customWidth="1"/>
    <col min="2838" max="2838" width="5.59765625" style="3" customWidth="1"/>
    <col min="2839" max="2839" width="9.5" style="3" customWidth="1"/>
    <col min="2840" max="2840" width="9.09765625" style="3" customWidth="1"/>
    <col min="2841" max="2841" width="5.09765625" style="3" customWidth="1"/>
    <col min="2842" max="2842" width="15.09765625" style="3" customWidth="1"/>
    <col min="2843" max="2843" width="1.3984375" style="3" customWidth="1"/>
    <col min="2844" max="2844" width="0.8984375" style="3" customWidth="1"/>
    <col min="2845" max="2845" width="2.5" style="3" customWidth="1"/>
    <col min="2846" max="2846" width="6.59765625" style="3" customWidth="1"/>
    <col min="2847" max="2847" width="6.5" style="3" customWidth="1"/>
    <col min="2848" max="2848" width="2.5" style="3" customWidth="1"/>
    <col min="2849" max="2849" width="6.09765625" style="3" customWidth="1"/>
    <col min="2850" max="2850" width="1" style="3" customWidth="1"/>
    <col min="2851" max="2851" width="6.09765625" style="3" customWidth="1"/>
    <col min="2852" max="2852" width="1.5" style="3" customWidth="1"/>
    <col min="2853" max="2853" width="0.8984375" style="3" customWidth="1"/>
    <col min="2854" max="2854" width="1.5" style="3" customWidth="1"/>
    <col min="2855" max="2855" width="7.09765625" style="3" customWidth="1"/>
    <col min="2856" max="2856" width="4.59765625" style="3" customWidth="1"/>
    <col min="2857" max="2857" width="16.8984375" style="3" customWidth="1"/>
    <col min="2858" max="2858" width="2" style="3" customWidth="1"/>
    <col min="2859" max="2859" width="5.59765625" style="3" customWidth="1"/>
    <col min="2860" max="2860" width="9.5" style="3" customWidth="1"/>
    <col min="2861" max="2861" width="9.09765625" style="3" customWidth="1"/>
    <col min="2862" max="2862" width="5.09765625" style="3" customWidth="1"/>
    <col min="2863" max="2863" width="15.09765625" style="3" customWidth="1"/>
    <col min="2864" max="2864" width="1.3984375" style="3" customWidth="1"/>
    <col min="2865" max="2865" width="0.8984375" style="3" customWidth="1"/>
    <col min="2866" max="2866" width="2.5" style="3" customWidth="1"/>
    <col min="2867" max="2867" width="6.59765625" style="3" customWidth="1"/>
    <col min="2868" max="2868" width="6.5" style="3" customWidth="1"/>
    <col min="2869" max="2869" width="2.5" style="3" customWidth="1"/>
    <col min="2870" max="2870" width="6.09765625" style="3" customWidth="1"/>
    <col min="2871" max="2871" width="1" style="3" customWidth="1"/>
    <col min="2872" max="2872" width="6.09765625" style="3" customWidth="1"/>
    <col min="2873" max="2873" width="1.5" style="3" customWidth="1"/>
    <col min="2874" max="2874" width="0.8984375" style="3" customWidth="1"/>
    <col min="2875" max="2875" width="1.5" style="3" customWidth="1"/>
    <col min="2876" max="2876" width="7.09765625" style="3" customWidth="1"/>
    <col min="2877" max="2877" width="4.59765625" style="3" customWidth="1"/>
    <col min="2878" max="2878" width="16.8984375" style="3" customWidth="1"/>
    <col min="2879" max="2879" width="2" style="3" customWidth="1"/>
    <col min="2880" max="2880" width="5.59765625" style="3" customWidth="1"/>
    <col min="2881" max="3072" width="11" style="3"/>
    <col min="3073" max="3073" width="5" style="3" customWidth="1"/>
    <col min="3074" max="3074" width="9.5" style="3" customWidth="1"/>
    <col min="3075" max="3075" width="9.09765625" style="3" customWidth="1"/>
    <col min="3076" max="3076" width="5.09765625" style="3" customWidth="1"/>
    <col min="3077" max="3077" width="15.09765625" style="3" customWidth="1"/>
    <col min="3078" max="3078" width="1.3984375" style="3" customWidth="1"/>
    <col min="3079" max="3079" width="0.8984375" style="3" customWidth="1"/>
    <col min="3080" max="3080" width="2.5" style="3" customWidth="1"/>
    <col min="3081" max="3081" width="6.59765625" style="3" customWidth="1"/>
    <col min="3082" max="3082" width="6.5" style="3" customWidth="1"/>
    <col min="3083" max="3083" width="2.5" style="3" customWidth="1"/>
    <col min="3084" max="3084" width="6.09765625" style="3" customWidth="1"/>
    <col min="3085" max="3085" width="1" style="3" customWidth="1"/>
    <col min="3086" max="3086" width="6.09765625" style="3" customWidth="1"/>
    <col min="3087" max="3087" width="1.5" style="3" customWidth="1"/>
    <col min="3088" max="3088" width="0.8984375" style="3" customWidth="1"/>
    <col min="3089" max="3089" width="1.5" style="3" customWidth="1"/>
    <col min="3090" max="3090" width="7.09765625" style="3" customWidth="1"/>
    <col min="3091" max="3091" width="5.3984375" style="3" customWidth="1"/>
    <col min="3092" max="3092" width="16.8984375" style="3" customWidth="1"/>
    <col min="3093" max="3093" width="2" style="3" customWidth="1"/>
    <col min="3094" max="3094" width="5.59765625" style="3" customWidth="1"/>
    <col min="3095" max="3095" width="9.5" style="3" customWidth="1"/>
    <col min="3096" max="3096" width="9.09765625" style="3" customWidth="1"/>
    <col min="3097" max="3097" width="5.09765625" style="3" customWidth="1"/>
    <col min="3098" max="3098" width="15.09765625" style="3" customWidth="1"/>
    <col min="3099" max="3099" width="1.3984375" style="3" customWidth="1"/>
    <col min="3100" max="3100" width="0.8984375" style="3" customWidth="1"/>
    <col min="3101" max="3101" width="2.5" style="3" customWidth="1"/>
    <col min="3102" max="3102" width="6.59765625" style="3" customWidth="1"/>
    <col min="3103" max="3103" width="6.5" style="3" customWidth="1"/>
    <col min="3104" max="3104" width="2.5" style="3" customWidth="1"/>
    <col min="3105" max="3105" width="6.09765625" style="3" customWidth="1"/>
    <col min="3106" max="3106" width="1" style="3" customWidth="1"/>
    <col min="3107" max="3107" width="6.09765625" style="3" customWidth="1"/>
    <col min="3108" max="3108" width="1.5" style="3" customWidth="1"/>
    <col min="3109" max="3109" width="0.8984375" style="3" customWidth="1"/>
    <col min="3110" max="3110" width="1.5" style="3" customWidth="1"/>
    <col min="3111" max="3111" width="7.09765625" style="3" customWidth="1"/>
    <col min="3112" max="3112" width="4.59765625" style="3" customWidth="1"/>
    <col min="3113" max="3113" width="16.8984375" style="3" customWidth="1"/>
    <col min="3114" max="3114" width="2" style="3" customWidth="1"/>
    <col min="3115" max="3115" width="5.59765625" style="3" customWidth="1"/>
    <col min="3116" max="3116" width="9.5" style="3" customWidth="1"/>
    <col min="3117" max="3117" width="9.09765625" style="3" customWidth="1"/>
    <col min="3118" max="3118" width="5.09765625" style="3" customWidth="1"/>
    <col min="3119" max="3119" width="15.09765625" style="3" customWidth="1"/>
    <col min="3120" max="3120" width="1.3984375" style="3" customWidth="1"/>
    <col min="3121" max="3121" width="0.8984375" style="3" customWidth="1"/>
    <col min="3122" max="3122" width="2.5" style="3" customWidth="1"/>
    <col min="3123" max="3123" width="6.59765625" style="3" customWidth="1"/>
    <col min="3124" max="3124" width="6.5" style="3" customWidth="1"/>
    <col min="3125" max="3125" width="2.5" style="3" customWidth="1"/>
    <col min="3126" max="3126" width="6.09765625" style="3" customWidth="1"/>
    <col min="3127" max="3127" width="1" style="3" customWidth="1"/>
    <col min="3128" max="3128" width="6.09765625" style="3" customWidth="1"/>
    <col min="3129" max="3129" width="1.5" style="3" customWidth="1"/>
    <col min="3130" max="3130" width="0.8984375" style="3" customWidth="1"/>
    <col min="3131" max="3131" width="1.5" style="3" customWidth="1"/>
    <col min="3132" max="3132" width="7.09765625" style="3" customWidth="1"/>
    <col min="3133" max="3133" width="4.59765625" style="3" customWidth="1"/>
    <col min="3134" max="3134" width="16.8984375" style="3" customWidth="1"/>
    <col min="3135" max="3135" width="2" style="3" customWidth="1"/>
    <col min="3136" max="3136" width="5.59765625" style="3" customWidth="1"/>
    <col min="3137" max="3328" width="11" style="3"/>
    <col min="3329" max="3329" width="5" style="3" customWidth="1"/>
    <col min="3330" max="3330" width="9.5" style="3" customWidth="1"/>
    <col min="3331" max="3331" width="9.09765625" style="3" customWidth="1"/>
    <col min="3332" max="3332" width="5.09765625" style="3" customWidth="1"/>
    <col min="3333" max="3333" width="15.09765625" style="3" customWidth="1"/>
    <col min="3334" max="3334" width="1.3984375" style="3" customWidth="1"/>
    <col min="3335" max="3335" width="0.8984375" style="3" customWidth="1"/>
    <col min="3336" max="3336" width="2.5" style="3" customWidth="1"/>
    <col min="3337" max="3337" width="6.59765625" style="3" customWidth="1"/>
    <col min="3338" max="3338" width="6.5" style="3" customWidth="1"/>
    <col min="3339" max="3339" width="2.5" style="3" customWidth="1"/>
    <col min="3340" max="3340" width="6.09765625" style="3" customWidth="1"/>
    <col min="3341" max="3341" width="1" style="3" customWidth="1"/>
    <col min="3342" max="3342" width="6.09765625" style="3" customWidth="1"/>
    <col min="3343" max="3343" width="1.5" style="3" customWidth="1"/>
    <col min="3344" max="3344" width="0.8984375" style="3" customWidth="1"/>
    <col min="3345" max="3345" width="1.5" style="3" customWidth="1"/>
    <col min="3346" max="3346" width="7.09765625" style="3" customWidth="1"/>
    <col min="3347" max="3347" width="5.3984375" style="3" customWidth="1"/>
    <col min="3348" max="3348" width="16.8984375" style="3" customWidth="1"/>
    <col min="3349" max="3349" width="2" style="3" customWidth="1"/>
    <col min="3350" max="3350" width="5.59765625" style="3" customWidth="1"/>
    <col min="3351" max="3351" width="9.5" style="3" customWidth="1"/>
    <col min="3352" max="3352" width="9.09765625" style="3" customWidth="1"/>
    <col min="3353" max="3353" width="5.09765625" style="3" customWidth="1"/>
    <col min="3354" max="3354" width="15.09765625" style="3" customWidth="1"/>
    <col min="3355" max="3355" width="1.3984375" style="3" customWidth="1"/>
    <col min="3356" max="3356" width="0.8984375" style="3" customWidth="1"/>
    <col min="3357" max="3357" width="2.5" style="3" customWidth="1"/>
    <col min="3358" max="3358" width="6.59765625" style="3" customWidth="1"/>
    <col min="3359" max="3359" width="6.5" style="3" customWidth="1"/>
    <col min="3360" max="3360" width="2.5" style="3" customWidth="1"/>
    <col min="3361" max="3361" width="6.09765625" style="3" customWidth="1"/>
    <col min="3362" max="3362" width="1" style="3" customWidth="1"/>
    <col min="3363" max="3363" width="6.09765625" style="3" customWidth="1"/>
    <col min="3364" max="3364" width="1.5" style="3" customWidth="1"/>
    <col min="3365" max="3365" width="0.8984375" style="3" customWidth="1"/>
    <col min="3366" max="3366" width="1.5" style="3" customWidth="1"/>
    <col min="3367" max="3367" width="7.09765625" style="3" customWidth="1"/>
    <col min="3368" max="3368" width="4.59765625" style="3" customWidth="1"/>
    <col min="3369" max="3369" width="16.8984375" style="3" customWidth="1"/>
    <col min="3370" max="3370" width="2" style="3" customWidth="1"/>
    <col min="3371" max="3371" width="5.59765625" style="3" customWidth="1"/>
    <col min="3372" max="3372" width="9.5" style="3" customWidth="1"/>
    <col min="3373" max="3373" width="9.09765625" style="3" customWidth="1"/>
    <col min="3374" max="3374" width="5.09765625" style="3" customWidth="1"/>
    <col min="3375" max="3375" width="15.09765625" style="3" customWidth="1"/>
    <col min="3376" max="3376" width="1.3984375" style="3" customWidth="1"/>
    <col min="3377" max="3377" width="0.8984375" style="3" customWidth="1"/>
    <col min="3378" max="3378" width="2.5" style="3" customWidth="1"/>
    <col min="3379" max="3379" width="6.59765625" style="3" customWidth="1"/>
    <col min="3380" max="3380" width="6.5" style="3" customWidth="1"/>
    <col min="3381" max="3381" width="2.5" style="3" customWidth="1"/>
    <col min="3382" max="3382" width="6.09765625" style="3" customWidth="1"/>
    <col min="3383" max="3383" width="1" style="3" customWidth="1"/>
    <col min="3384" max="3384" width="6.09765625" style="3" customWidth="1"/>
    <col min="3385" max="3385" width="1.5" style="3" customWidth="1"/>
    <col min="3386" max="3386" width="0.8984375" style="3" customWidth="1"/>
    <col min="3387" max="3387" width="1.5" style="3" customWidth="1"/>
    <col min="3388" max="3388" width="7.09765625" style="3" customWidth="1"/>
    <col min="3389" max="3389" width="4.59765625" style="3" customWidth="1"/>
    <col min="3390" max="3390" width="16.8984375" style="3" customWidth="1"/>
    <col min="3391" max="3391" width="2" style="3" customWidth="1"/>
    <col min="3392" max="3392" width="5.59765625" style="3" customWidth="1"/>
    <col min="3393" max="3584" width="11" style="3"/>
    <col min="3585" max="3585" width="5" style="3" customWidth="1"/>
    <col min="3586" max="3586" width="9.5" style="3" customWidth="1"/>
    <col min="3587" max="3587" width="9.09765625" style="3" customWidth="1"/>
    <col min="3588" max="3588" width="5.09765625" style="3" customWidth="1"/>
    <col min="3589" max="3589" width="15.09765625" style="3" customWidth="1"/>
    <col min="3590" max="3590" width="1.3984375" style="3" customWidth="1"/>
    <col min="3591" max="3591" width="0.8984375" style="3" customWidth="1"/>
    <col min="3592" max="3592" width="2.5" style="3" customWidth="1"/>
    <col min="3593" max="3593" width="6.59765625" style="3" customWidth="1"/>
    <col min="3594" max="3594" width="6.5" style="3" customWidth="1"/>
    <col min="3595" max="3595" width="2.5" style="3" customWidth="1"/>
    <col min="3596" max="3596" width="6.09765625" style="3" customWidth="1"/>
    <col min="3597" max="3597" width="1" style="3" customWidth="1"/>
    <col min="3598" max="3598" width="6.09765625" style="3" customWidth="1"/>
    <col min="3599" max="3599" width="1.5" style="3" customWidth="1"/>
    <col min="3600" max="3600" width="0.8984375" style="3" customWidth="1"/>
    <col min="3601" max="3601" width="1.5" style="3" customWidth="1"/>
    <col min="3602" max="3602" width="7.09765625" style="3" customWidth="1"/>
    <col min="3603" max="3603" width="5.3984375" style="3" customWidth="1"/>
    <col min="3604" max="3604" width="16.8984375" style="3" customWidth="1"/>
    <col min="3605" max="3605" width="2" style="3" customWidth="1"/>
    <col min="3606" max="3606" width="5.59765625" style="3" customWidth="1"/>
    <col min="3607" max="3607" width="9.5" style="3" customWidth="1"/>
    <col min="3608" max="3608" width="9.09765625" style="3" customWidth="1"/>
    <col min="3609" max="3609" width="5.09765625" style="3" customWidth="1"/>
    <col min="3610" max="3610" width="15.09765625" style="3" customWidth="1"/>
    <col min="3611" max="3611" width="1.3984375" style="3" customWidth="1"/>
    <col min="3612" max="3612" width="0.8984375" style="3" customWidth="1"/>
    <col min="3613" max="3613" width="2.5" style="3" customWidth="1"/>
    <col min="3614" max="3614" width="6.59765625" style="3" customWidth="1"/>
    <col min="3615" max="3615" width="6.5" style="3" customWidth="1"/>
    <col min="3616" max="3616" width="2.5" style="3" customWidth="1"/>
    <col min="3617" max="3617" width="6.09765625" style="3" customWidth="1"/>
    <col min="3618" max="3618" width="1" style="3" customWidth="1"/>
    <col min="3619" max="3619" width="6.09765625" style="3" customWidth="1"/>
    <col min="3620" max="3620" width="1.5" style="3" customWidth="1"/>
    <col min="3621" max="3621" width="0.8984375" style="3" customWidth="1"/>
    <col min="3622" max="3622" width="1.5" style="3" customWidth="1"/>
    <col min="3623" max="3623" width="7.09765625" style="3" customWidth="1"/>
    <col min="3624" max="3624" width="4.59765625" style="3" customWidth="1"/>
    <col min="3625" max="3625" width="16.8984375" style="3" customWidth="1"/>
    <col min="3626" max="3626" width="2" style="3" customWidth="1"/>
    <col min="3627" max="3627" width="5.59765625" style="3" customWidth="1"/>
    <col min="3628" max="3628" width="9.5" style="3" customWidth="1"/>
    <col min="3629" max="3629" width="9.09765625" style="3" customWidth="1"/>
    <col min="3630" max="3630" width="5.09765625" style="3" customWidth="1"/>
    <col min="3631" max="3631" width="15.09765625" style="3" customWidth="1"/>
    <col min="3632" max="3632" width="1.3984375" style="3" customWidth="1"/>
    <col min="3633" max="3633" width="0.8984375" style="3" customWidth="1"/>
    <col min="3634" max="3634" width="2.5" style="3" customWidth="1"/>
    <col min="3635" max="3635" width="6.59765625" style="3" customWidth="1"/>
    <col min="3636" max="3636" width="6.5" style="3" customWidth="1"/>
    <col min="3637" max="3637" width="2.5" style="3" customWidth="1"/>
    <col min="3638" max="3638" width="6.09765625" style="3" customWidth="1"/>
    <col min="3639" max="3639" width="1" style="3" customWidth="1"/>
    <col min="3640" max="3640" width="6.09765625" style="3" customWidth="1"/>
    <col min="3641" max="3641" width="1.5" style="3" customWidth="1"/>
    <col min="3642" max="3642" width="0.8984375" style="3" customWidth="1"/>
    <col min="3643" max="3643" width="1.5" style="3" customWidth="1"/>
    <col min="3644" max="3644" width="7.09765625" style="3" customWidth="1"/>
    <col min="3645" max="3645" width="4.59765625" style="3" customWidth="1"/>
    <col min="3646" max="3646" width="16.8984375" style="3" customWidth="1"/>
    <col min="3647" max="3647" width="2" style="3" customWidth="1"/>
    <col min="3648" max="3648" width="5.59765625" style="3" customWidth="1"/>
    <col min="3649" max="3840" width="11" style="3"/>
    <col min="3841" max="3841" width="5" style="3" customWidth="1"/>
    <col min="3842" max="3842" width="9.5" style="3" customWidth="1"/>
    <col min="3843" max="3843" width="9.09765625" style="3" customWidth="1"/>
    <col min="3844" max="3844" width="5.09765625" style="3" customWidth="1"/>
    <col min="3845" max="3845" width="15.09765625" style="3" customWidth="1"/>
    <col min="3846" max="3846" width="1.3984375" style="3" customWidth="1"/>
    <col min="3847" max="3847" width="0.8984375" style="3" customWidth="1"/>
    <col min="3848" max="3848" width="2.5" style="3" customWidth="1"/>
    <col min="3849" max="3849" width="6.59765625" style="3" customWidth="1"/>
    <col min="3850" max="3850" width="6.5" style="3" customWidth="1"/>
    <col min="3851" max="3851" width="2.5" style="3" customWidth="1"/>
    <col min="3852" max="3852" width="6.09765625" style="3" customWidth="1"/>
    <col min="3853" max="3853" width="1" style="3" customWidth="1"/>
    <col min="3854" max="3854" width="6.09765625" style="3" customWidth="1"/>
    <col min="3855" max="3855" width="1.5" style="3" customWidth="1"/>
    <col min="3856" max="3856" width="0.8984375" style="3" customWidth="1"/>
    <col min="3857" max="3857" width="1.5" style="3" customWidth="1"/>
    <col min="3858" max="3858" width="7.09765625" style="3" customWidth="1"/>
    <col min="3859" max="3859" width="5.3984375" style="3" customWidth="1"/>
    <col min="3860" max="3860" width="16.8984375" style="3" customWidth="1"/>
    <col min="3861" max="3861" width="2" style="3" customWidth="1"/>
    <col min="3862" max="3862" width="5.59765625" style="3" customWidth="1"/>
    <col min="3863" max="3863" width="9.5" style="3" customWidth="1"/>
    <col min="3864" max="3864" width="9.09765625" style="3" customWidth="1"/>
    <col min="3865" max="3865" width="5.09765625" style="3" customWidth="1"/>
    <col min="3866" max="3866" width="15.09765625" style="3" customWidth="1"/>
    <col min="3867" max="3867" width="1.3984375" style="3" customWidth="1"/>
    <col min="3868" max="3868" width="0.8984375" style="3" customWidth="1"/>
    <col min="3869" max="3869" width="2.5" style="3" customWidth="1"/>
    <col min="3870" max="3870" width="6.59765625" style="3" customWidth="1"/>
    <col min="3871" max="3871" width="6.5" style="3" customWidth="1"/>
    <col min="3872" max="3872" width="2.5" style="3" customWidth="1"/>
    <col min="3873" max="3873" width="6.09765625" style="3" customWidth="1"/>
    <col min="3874" max="3874" width="1" style="3" customWidth="1"/>
    <col min="3875" max="3875" width="6.09765625" style="3" customWidth="1"/>
    <col min="3876" max="3876" width="1.5" style="3" customWidth="1"/>
    <col min="3877" max="3877" width="0.8984375" style="3" customWidth="1"/>
    <col min="3878" max="3878" width="1.5" style="3" customWidth="1"/>
    <col min="3879" max="3879" width="7.09765625" style="3" customWidth="1"/>
    <col min="3880" max="3880" width="4.59765625" style="3" customWidth="1"/>
    <col min="3881" max="3881" width="16.8984375" style="3" customWidth="1"/>
    <col min="3882" max="3882" width="2" style="3" customWidth="1"/>
    <col min="3883" max="3883" width="5.59765625" style="3" customWidth="1"/>
    <col min="3884" max="3884" width="9.5" style="3" customWidth="1"/>
    <col min="3885" max="3885" width="9.09765625" style="3" customWidth="1"/>
    <col min="3886" max="3886" width="5.09765625" style="3" customWidth="1"/>
    <col min="3887" max="3887" width="15.09765625" style="3" customWidth="1"/>
    <col min="3888" max="3888" width="1.3984375" style="3" customWidth="1"/>
    <col min="3889" max="3889" width="0.8984375" style="3" customWidth="1"/>
    <col min="3890" max="3890" width="2.5" style="3" customWidth="1"/>
    <col min="3891" max="3891" width="6.59765625" style="3" customWidth="1"/>
    <col min="3892" max="3892" width="6.5" style="3" customWidth="1"/>
    <col min="3893" max="3893" width="2.5" style="3" customWidth="1"/>
    <col min="3894" max="3894" width="6.09765625" style="3" customWidth="1"/>
    <col min="3895" max="3895" width="1" style="3" customWidth="1"/>
    <col min="3896" max="3896" width="6.09765625" style="3" customWidth="1"/>
    <col min="3897" max="3897" width="1.5" style="3" customWidth="1"/>
    <col min="3898" max="3898" width="0.8984375" style="3" customWidth="1"/>
    <col min="3899" max="3899" width="1.5" style="3" customWidth="1"/>
    <col min="3900" max="3900" width="7.09765625" style="3" customWidth="1"/>
    <col min="3901" max="3901" width="4.59765625" style="3" customWidth="1"/>
    <col min="3902" max="3902" width="16.8984375" style="3" customWidth="1"/>
    <col min="3903" max="3903" width="2" style="3" customWidth="1"/>
    <col min="3904" max="3904" width="5.59765625" style="3" customWidth="1"/>
    <col min="3905" max="4096" width="11" style="3"/>
    <col min="4097" max="4097" width="5" style="3" customWidth="1"/>
    <col min="4098" max="4098" width="9.5" style="3" customWidth="1"/>
    <col min="4099" max="4099" width="9.09765625" style="3" customWidth="1"/>
    <col min="4100" max="4100" width="5.09765625" style="3" customWidth="1"/>
    <col min="4101" max="4101" width="15.09765625" style="3" customWidth="1"/>
    <col min="4102" max="4102" width="1.3984375" style="3" customWidth="1"/>
    <col min="4103" max="4103" width="0.8984375" style="3" customWidth="1"/>
    <col min="4104" max="4104" width="2.5" style="3" customWidth="1"/>
    <col min="4105" max="4105" width="6.59765625" style="3" customWidth="1"/>
    <col min="4106" max="4106" width="6.5" style="3" customWidth="1"/>
    <col min="4107" max="4107" width="2.5" style="3" customWidth="1"/>
    <col min="4108" max="4108" width="6.09765625" style="3" customWidth="1"/>
    <col min="4109" max="4109" width="1" style="3" customWidth="1"/>
    <col min="4110" max="4110" width="6.09765625" style="3" customWidth="1"/>
    <col min="4111" max="4111" width="1.5" style="3" customWidth="1"/>
    <col min="4112" max="4112" width="0.8984375" style="3" customWidth="1"/>
    <col min="4113" max="4113" width="1.5" style="3" customWidth="1"/>
    <col min="4114" max="4114" width="7.09765625" style="3" customWidth="1"/>
    <col min="4115" max="4115" width="5.3984375" style="3" customWidth="1"/>
    <col min="4116" max="4116" width="16.8984375" style="3" customWidth="1"/>
    <col min="4117" max="4117" width="2" style="3" customWidth="1"/>
    <col min="4118" max="4118" width="5.59765625" style="3" customWidth="1"/>
    <col min="4119" max="4119" width="9.5" style="3" customWidth="1"/>
    <col min="4120" max="4120" width="9.09765625" style="3" customWidth="1"/>
    <col min="4121" max="4121" width="5.09765625" style="3" customWidth="1"/>
    <col min="4122" max="4122" width="15.09765625" style="3" customWidth="1"/>
    <col min="4123" max="4123" width="1.3984375" style="3" customWidth="1"/>
    <col min="4124" max="4124" width="0.8984375" style="3" customWidth="1"/>
    <col min="4125" max="4125" width="2.5" style="3" customWidth="1"/>
    <col min="4126" max="4126" width="6.59765625" style="3" customWidth="1"/>
    <col min="4127" max="4127" width="6.5" style="3" customWidth="1"/>
    <col min="4128" max="4128" width="2.5" style="3" customWidth="1"/>
    <col min="4129" max="4129" width="6.09765625" style="3" customWidth="1"/>
    <col min="4130" max="4130" width="1" style="3" customWidth="1"/>
    <col min="4131" max="4131" width="6.09765625" style="3" customWidth="1"/>
    <col min="4132" max="4132" width="1.5" style="3" customWidth="1"/>
    <col min="4133" max="4133" width="0.8984375" style="3" customWidth="1"/>
    <col min="4134" max="4134" width="1.5" style="3" customWidth="1"/>
    <col min="4135" max="4135" width="7.09765625" style="3" customWidth="1"/>
    <col min="4136" max="4136" width="4.59765625" style="3" customWidth="1"/>
    <col min="4137" max="4137" width="16.8984375" style="3" customWidth="1"/>
    <col min="4138" max="4138" width="2" style="3" customWidth="1"/>
    <col min="4139" max="4139" width="5.59765625" style="3" customWidth="1"/>
    <col min="4140" max="4140" width="9.5" style="3" customWidth="1"/>
    <col min="4141" max="4141" width="9.09765625" style="3" customWidth="1"/>
    <col min="4142" max="4142" width="5.09765625" style="3" customWidth="1"/>
    <col min="4143" max="4143" width="15.09765625" style="3" customWidth="1"/>
    <col min="4144" max="4144" width="1.3984375" style="3" customWidth="1"/>
    <col min="4145" max="4145" width="0.8984375" style="3" customWidth="1"/>
    <col min="4146" max="4146" width="2.5" style="3" customWidth="1"/>
    <col min="4147" max="4147" width="6.59765625" style="3" customWidth="1"/>
    <col min="4148" max="4148" width="6.5" style="3" customWidth="1"/>
    <col min="4149" max="4149" width="2.5" style="3" customWidth="1"/>
    <col min="4150" max="4150" width="6.09765625" style="3" customWidth="1"/>
    <col min="4151" max="4151" width="1" style="3" customWidth="1"/>
    <col min="4152" max="4152" width="6.09765625" style="3" customWidth="1"/>
    <col min="4153" max="4153" width="1.5" style="3" customWidth="1"/>
    <col min="4154" max="4154" width="0.8984375" style="3" customWidth="1"/>
    <col min="4155" max="4155" width="1.5" style="3" customWidth="1"/>
    <col min="4156" max="4156" width="7.09765625" style="3" customWidth="1"/>
    <col min="4157" max="4157" width="4.59765625" style="3" customWidth="1"/>
    <col min="4158" max="4158" width="16.8984375" style="3" customWidth="1"/>
    <col min="4159" max="4159" width="2" style="3" customWidth="1"/>
    <col min="4160" max="4160" width="5.59765625" style="3" customWidth="1"/>
    <col min="4161" max="4352" width="11" style="3"/>
    <col min="4353" max="4353" width="5" style="3" customWidth="1"/>
    <col min="4354" max="4354" width="9.5" style="3" customWidth="1"/>
    <col min="4355" max="4355" width="9.09765625" style="3" customWidth="1"/>
    <col min="4356" max="4356" width="5.09765625" style="3" customWidth="1"/>
    <col min="4357" max="4357" width="15.09765625" style="3" customWidth="1"/>
    <col min="4358" max="4358" width="1.3984375" style="3" customWidth="1"/>
    <col min="4359" max="4359" width="0.8984375" style="3" customWidth="1"/>
    <col min="4360" max="4360" width="2.5" style="3" customWidth="1"/>
    <col min="4361" max="4361" width="6.59765625" style="3" customWidth="1"/>
    <col min="4362" max="4362" width="6.5" style="3" customWidth="1"/>
    <col min="4363" max="4363" width="2.5" style="3" customWidth="1"/>
    <col min="4364" max="4364" width="6.09765625" style="3" customWidth="1"/>
    <col min="4365" max="4365" width="1" style="3" customWidth="1"/>
    <col min="4366" max="4366" width="6.09765625" style="3" customWidth="1"/>
    <col min="4367" max="4367" width="1.5" style="3" customWidth="1"/>
    <col min="4368" max="4368" width="0.8984375" style="3" customWidth="1"/>
    <col min="4369" max="4369" width="1.5" style="3" customWidth="1"/>
    <col min="4370" max="4370" width="7.09765625" style="3" customWidth="1"/>
    <col min="4371" max="4371" width="5.3984375" style="3" customWidth="1"/>
    <col min="4372" max="4372" width="16.8984375" style="3" customWidth="1"/>
    <col min="4373" max="4373" width="2" style="3" customWidth="1"/>
    <col min="4374" max="4374" width="5.59765625" style="3" customWidth="1"/>
    <col min="4375" max="4375" width="9.5" style="3" customWidth="1"/>
    <col min="4376" max="4376" width="9.09765625" style="3" customWidth="1"/>
    <col min="4377" max="4377" width="5.09765625" style="3" customWidth="1"/>
    <col min="4378" max="4378" width="15.09765625" style="3" customWidth="1"/>
    <col min="4379" max="4379" width="1.3984375" style="3" customWidth="1"/>
    <col min="4380" max="4380" width="0.8984375" style="3" customWidth="1"/>
    <col min="4381" max="4381" width="2.5" style="3" customWidth="1"/>
    <col min="4382" max="4382" width="6.59765625" style="3" customWidth="1"/>
    <col min="4383" max="4383" width="6.5" style="3" customWidth="1"/>
    <col min="4384" max="4384" width="2.5" style="3" customWidth="1"/>
    <col min="4385" max="4385" width="6.09765625" style="3" customWidth="1"/>
    <col min="4386" max="4386" width="1" style="3" customWidth="1"/>
    <col min="4387" max="4387" width="6.09765625" style="3" customWidth="1"/>
    <col min="4388" max="4388" width="1.5" style="3" customWidth="1"/>
    <col min="4389" max="4389" width="0.8984375" style="3" customWidth="1"/>
    <col min="4390" max="4390" width="1.5" style="3" customWidth="1"/>
    <col min="4391" max="4391" width="7.09765625" style="3" customWidth="1"/>
    <col min="4392" max="4392" width="4.59765625" style="3" customWidth="1"/>
    <col min="4393" max="4393" width="16.8984375" style="3" customWidth="1"/>
    <col min="4394" max="4394" width="2" style="3" customWidth="1"/>
    <col min="4395" max="4395" width="5.59765625" style="3" customWidth="1"/>
    <col min="4396" max="4396" width="9.5" style="3" customWidth="1"/>
    <col min="4397" max="4397" width="9.09765625" style="3" customWidth="1"/>
    <col min="4398" max="4398" width="5.09765625" style="3" customWidth="1"/>
    <col min="4399" max="4399" width="15.09765625" style="3" customWidth="1"/>
    <col min="4400" max="4400" width="1.3984375" style="3" customWidth="1"/>
    <col min="4401" max="4401" width="0.8984375" style="3" customWidth="1"/>
    <col min="4402" max="4402" width="2.5" style="3" customWidth="1"/>
    <col min="4403" max="4403" width="6.59765625" style="3" customWidth="1"/>
    <col min="4404" max="4404" width="6.5" style="3" customWidth="1"/>
    <col min="4405" max="4405" width="2.5" style="3" customWidth="1"/>
    <col min="4406" max="4406" width="6.09765625" style="3" customWidth="1"/>
    <col min="4407" max="4407" width="1" style="3" customWidth="1"/>
    <col min="4408" max="4408" width="6.09765625" style="3" customWidth="1"/>
    <col min="4409" max="4409" width="1.5" style="3" customWidth="1"/>
    <col min="4410" max="4410" width="0.8984375" style="3" customWidth="1"/>
    <col min="4411" max="4411" width="1.5" style="3" customWidth="1"/>
    <col min="4412" max="4412" width="7.09765625" style="3" customWidth="1"/>
    <col min="4413" max="4413" width="4.59765625" style="3" customWidth="1"/>
    <col min="4414" max="4414" width="16.8984375" style="3" customWidth="1"/>
    <col min="4415" max="4415" width="2" style="3" customWidth="1"/>
    <col min="4416" max="4416" width="5.59765625" style="3" customWidth="1"/>
    <col min="4417" max="4608" width="11" style="3"/>
    <col min="4609" max="4609" width="5" style="3" customWidth="1"/>
    <col min="4610" max="4610" width="9.5" style="3" customWidth="1"/>
    <col min="4611" max="4611" width="9.09765625" style="3" customWidth="1"/>
    <col min="4612" max="4612" width="5.09765625" style="3" customWidth="1"/>
    <col min="4613" max="4613" width="15.09765625" style="3" customWidth="1"/>
    <col min="4614" max="4614" width="1.3984375" style="3" customWidth="1"/>
    <col min="4615" max="4615" width="0.8984375" style="3" customWidth="1"/>
    <col min="4616" max="4616" width="2.5" style="3" customWidth="1"/>
    <col min="4617" max="4617" width="6.59765625" style="3" customWidth="1"/>
    <col min="4618" max="4618" width="6.5" style="3" customWidth="1"/>
    <col min="4619" max="4619" width="2.5" style="3" customWidth="1"/>
    <col min="4620" max="4620" width="6.09765625" style="3" customWidth="1"/>
    <col min="4621" max="4621" width="1" style="3" customWidth="1"/>
    <col min="4622" max="4622" width="6.09765625" style="3" customWidth="1"/>
    <col min="4623" max="4623" width="1.5" style="3" customWidth="1"/>
    <col min="4624" max="4624" width="0.8984375" style="3" customWidth="1"/>
    <col min="4625" max="4625" width="1.5" style="3" customWidth="1"/>
    <col min="4626" max="4626" width="7.09765625" style="3" customWidth="1"/>
    <col min="4627" max="4627" width="5.3984375" style="3" customWidth="1"/>
    <col min="4628" max="4628" width="16.8984375" style="3" customWidth="1"/>
    <col min="4629" max="4629" width="2" style="3" customWidth="1"/>
    <col min="4630" max="4630" width="5.59765625" style="3" customWidth="1"/>
    <col min="4631" max="4631" width="9.5" style="3" customWidth="1"/>
    <col min="4632" max="4632" width="9.09765625" style="3" customWidth="1"/>
    <col min="4633" max="4633" width="5.09765625" style="3" customWidth="1"/>
    <col min="4634" max="4634" width="15.09765625" style="3" customWidth="1"/>
    <col min="4635" max="4635" width="1.3984375" style="3" customWidth="1"/>
    <col min="4636" max="4636" width="0.8984375" style="3" customWidth="1"/>
    <col min="4637" max="4637" width="2.5" style="3" customWidth="1"/>
    <col min="4638" max="4638" width="6.59765625" style="3" customWidth="1"/>
    <col min="4639" max="4639" width="6.5" style="3" customWidth="1"/>
    <col min="4640" max="4640" width="2.5" style="3" customWidth="1"/>
    <col min="4641" max="4641" width="6.09765625" style="3" customWidth="1"/>
    <col min="4642" max="4642" width="1" style="3" customWidth="1"/>
    <col min="4643" max="4643" width="6.09765625" style="3" customWidth="1"/>
    <col min="4644" max="4644" width="1.5" style="3" customWidth="1"/>
    <col min="4645" max="4645" width="0.8984375" style="3" customWidth="1"/>
    <col min="4646" max="4646" width="1.5" style="3" customWidth="1"/>
    <col min="4647" max="4647" width="7.09765625" style="3" customWidth="1"/>
    <col min="4648" max="4648" width="4.59765625" style="3" customWidth="1"/>
    <col min="4649" max="4649" width="16.8984375" style="3" customWidth="1"/>
    <col min="4650" max="4650" width="2" style="3" customWidth="1"/>
    <col min="4651" max="4651" width="5.59765625" style="3" customWidth="1"/>
    <col min="4652" max="4652" width="9.5" style="3" customWidth="1"/>
    <col min="4653" max="4653" width="9.09765625" style="3" customWidth="1"/>
    <col min="4654" max="4654" width="5.09765625" style="3" customWidth="1"/>
    <col min="4655" max="4655" width="15.09765625" style="3" customWidth="1"/>
    <col min="4656" max="4656" width="1.3984375" style="3" customWidth="1"/>
    <col min="4657" max="4657" width="0.8984375" style="3" customWidth="1"/>
    <col min="4658" max="4658" width="2.5" style="3" customWidth="1"/>
    <col min="4659" max="4659" width="6.59765625" style="3" customWidth="1"/>
    <col min="4660" max="4660" width="6.5" style="3" customWidth="1"/>
    <col min="4661" max="4661" width="2.5" style="3" customWidth="1"/>
    <col min="4662" max="4662" width="6.09765625" style="3" customWidth="1"/>
    <col min="4663" max="4663" width="1" style="3" customWidth="1"/>
    <col min="4664" max="4664" width="6.09765625" style="3" customWidth="1"/>
    <col min="4665" max="4665" width="1.5" style="3" customWidth="1"/>
    <col min="4666" max="4666" width="0.8984375" style="3" customWidth="1"/>
    <col min="4667" max="4667" width="1.5" style="3" customWidth="1"/>
    <col min="4668" max="4668" width="7.09765625" style="3" customWidth="1"/>
    <col min="4669" max="4669" width="4.59765625" style="3" customWidth="1"/>
    <col min="4670" max="4670" width="16.8984375" style="3" customWidth="1"/>
    <col min="4671" max="4671" width="2" style="3" customWidth="1"/>
    <col min="4672" max="4672" width="5.59765625" style="3" customWidth="1"/>
    <col min="4673" max="4864" width="11" style="3"/>
    <col min="4865" max="4865" width="5" style="3" customWidth="1"/>
    <col min="4866" max="4866" width="9.5" style="3" customWidth="1"/>
    <col min="4867" max="4867" width="9.09765625" style="3" customWidth="1"/>
    <col min="4868" max="4868" width="5.09765625" style="3" customWidth="1"/>
    <col min="4869" max="4869" width="15.09765625" style="3" customWidth="1"/>
    <col min="4870" max="4870" width="1.3984375" style="3" customWidth="1"/>
    <col min="4871" max="4871" width="0.8984375" style="3" customWidth="1"/>
    <col min="4872" max="4872" width="2.5" style="3" customWidth="1"/>
    <col min="4873" max="4873" width="6.59765625" style="3" customWidth="1"/>
    <col min="4874" max="4874" width="6.5" style="3" customWidth="1"/>
    <col min="4875" max="4875" width="2.5" style="3" customWidth="1"/>
    <col min="4876" max="4876" width="6.09765625" style="3" customWidth="1"/>
    <col min="4877" max="4877" width="1" style="3" customWidth="1"/>
    <col min="4878" max="4878" width="6.09765625" style="3" customWidth="1"/>
    <col min="4879" max="4879" width="1.5" style="3" customWidth="1"/>
    <col min="4880" max="4880" width="0.8984375" style="3" customWidth="1"/>
    <col min="4881" max="4881" width="1.5" style="3" customWidth="1"/>
    <col min="4882" max="4882" width="7.09765625" style="3" customWidth="1"/>
    <col min="4883" max="4883" width="5.3984375" style="3" customWidth="1"/>
    <col min="4884" max="4884" width="16.8984375" style="3" customWidth="1"/>
    <col min="4885" max="4885" width="2" style="3" customWidth="1"/>
    <col min="4886" max="4886" width="5.59765625" style="3" customWidth="1"/>
    <col min="4887" max="4887" width="9.5" style="3" customWidth="1"/>
    <col min="4888" max="4888" width="9.09765625" style="3" customWidth="1"/>
    <col min="4889" max="4889" width="5.09765625" style="3" customWidth="1"/>
    <col min="4890" max="4890" width="15.09765625" style="3" customWidth="1"/>
    <col min="4891" max="4891" width="1.3984375" style="3" customWidth="1"/>
    <col min="4892" max="4892" width="0.8984375" style="3" customWidth="1"/>
    <col min="4893" max="4893" width="2.5" style="3" customWidth="1"/>
    <col min="4894" max="4894" width="6.59765625" style="3" customWidth="1"/>
    <col min="4895" max="4895" width="6.5" style="3" customWidth="1"/>
    <col min="4896" max="4896" width="2.5" style="3" customWidth="1"/>
    <col min="4897" max="4897" width="6.09765625" style="3" customWidth="1"/>
    <col min="4898" max="4898" width="1" style="3" customWidth="1"/>
    <col min="4899" max="4899" width="6.09765625" style="3" customWidth="1"/>
    <col min="4900" max="4900" width="1.5" style="3" customWidth="1"/>
    <col min="4901" max="4901" width="0.8984375" style="3" customWidth="1"/>
    <col min="4902" max="4902" width="1.5" style="3" customWidth="1"/>
    <col min="4903" max="4903" width="7.09765625" style="3" customWidth="1"/>
    <col min="4904" max="4904" width="4.59765625" style="3" customWidth="1"/>
    <col min="4905" max="4905" width="16.8984375" style="3" customWidth="1"/>
    <col min="4906" max="4906" width="2" style="3" customWidth="1"/>
    <col min="4907" max="4907" width="5.59765625" style="3" customWidth="1"/>
    <col min="4908" max="4908" width="9.5" style="3" customWidth="1"/>
    <col min="4909" max="4909" width="9.09765625" style="3" customWidth="1"/>
    <col min="4910" max="4910" width="5.09765625" style="3" customWidth="1"/>
    <col min="4911" max="4911" width="15.09765625" style="3" customWidth="1"/>
    <col min="4912" max="4912" width="1.3984375" style="3" customWidth="1"/>
    <col min="4913" max="4913" width="0.8984375" style="3" customWidth="1"/>
    <col min="4914" max="4914" width="2.5" style="3" customWidth="1"/>
    <col min="4915" max="4915" width="6.59765625" style="3" customWidth="1"/>
    <col min="4916" max="4916" width="6.5" style="3" customWidth="1"/>
    <col min="4917" max="4917" width="2.5" style="3" customWidth="1"/>
    <col min="4918" max="4918" width="6.09765625" style="3" customWidth="1"/>
    <col min="4919" max="4919" width="1" style="3" customWidth="1"/>
    <col min="4920" max="4920" width="6.09765625" style="3" customWidth="1"/>
    <col min="4921" max="4921" width="1.5" style="3" customWidth="1"/>
    <col min="4922" max="4922" width="0.8984375" style="3" customWidth="1"/>
    <col min="4923" max="4923" width="1.5" style="3" customWidth="1"/>
    <col min="4924" max="4924" width="7.09765625" style="3" customWidth="1"/>
    <col min="4925" max="4925" width="4.59765625" style="3" customWidth="1"/>
    <col min="4926" max="4926" width="16.8984375" style="3" customWidth="1"/>
    <col min="4927" max="4927" width="2" style="3" customWidth="1"/>
    <col min="4928" max="4928" width="5.59765625" style="3" customWidth="1"/>
    <col min="4929" max="5120" width="11" style="3"/>
    <col min="5121" max="5121" width="5" style="3" customWidth="1"/>
    <col min="5122" max="5122" width="9.5" style="3" customWidth="1"/>
    <col min="5123" max="5123" width="9.09765625" style="3" customWidth="1"/>
    <col min="5124" max="5124" width="5.09765625" style="3" customWidth="1"/>
    <col min="5125" max="5125" width="15.09765625" style="3" customWidth="1"/>
    <col min="5126" max="5126" width="1.3984375" style="3" customWidth="1"/>
    <col min="5127" max="5127" width="0.8984375" style="3" customWidth="1"/>
    <col min="5128" max="5128" width="2.5" style="3" customWidth="1"/>
    <col min="5129" max="5129" width="6.59765625" style="3" customWidth="1"/>
    <col min="5130" max="5130" width="6.5" style="3" customWidth="1"/>
    <col min="5131" max="5131" width="2.5" style="3" customWidth="1"/>
    <col min="5132" max="5132" width="6.09765625" style="3" customWidth="1"/>
    <col min="5133" max="5133" width="1" style="3" customWidth="1"/>
    <col min="5134" max="5134" width="6.09765625" style="3" customWidth="1"/>
    <col min="5135" max="5135" width="1.5" style="3" customWidth="1"/>
    <col min="5136" max="5136" width="0.8984375" style="3" customWidth="1"/>
    <col min="5137" max="5137" width="1.5" style="3" customWidth="1"/>
    <col min="5138" max="5138" width="7.09765625" style="3" customWidth="1"/>
    <col min="5139" max="5139" width="5.3984375" style="3" customWidth="1"/>
    <col min="5140" max="5140" width="16.8984375" style="3" customWidth="1"/>
    <col min="5141" max="5141" width="2" style="3" customWidth="1"/>
    <col min="5142" max="5142" width="5.59765625" style="3" customWidth="1"/>
    <col min="5143" max="5143" width="9.5" style="3" customWidth="1"/>
    <col min="5144" max="5144" width="9.09765625" style="3" customWidth="1"/>
    <col min="5145" max="5145" width="5.09765625" style="3" customWidth="1"/>
    <col min="5146" max="5146" width="15.09765625" style="3" customWidth="1"/>
    <col min="5147" max="5147" width="1.3984375" style="3" customWidth="1"/>
    <col min="5148" max="5148" width="0.8984375" style="3" customWidth="1"/>
    <col min="5149" max="5149" width="2.5" style="3" customWidth="1"/>
    <col min="5150" max="5150" width="6.59765625" style="3" customWidth="1"/>
    <col min="5151" max="5151" width="6.5" style="3" customWidth="1"/>
    <col min="5152" max="5152" width="2.5" style="3" customWidth="1"/>
    <col min="5153" max="5153" width="6.09765625" style="3" customWidth="1"/>
    <col min="5154" max="5154" width="1" style="3" customWidth="1"/>
    <col min="5155" max="5155" width="6.09765625" style="3" customWidth="1"/>
    <col min="5156" max="5156" width="1.5" style="3" customWidth="1"/>
    <col min="5157" max="5157" width="0.8984375" style="3" customWidth="1"/>
    <col min="5158" max="5158" width="1.5" style="3" customWidth="1"/>
    <col min="5159" max="5159" width="7.09765625" style="3" customWidth="1"/>
    <col min="5160" max="5160" width="4.59765625" style="3" customWidth="1"/>
    <col min="5161" max="5161" width="16.8984375" style="3" customWidth="1"/>
    <col min="5162" max="5162" width="2" style="3" customWidth="1"/>
    <col min="5163" max="5163" width="5.59765625" style="3" customWidth="1"/>
    <col min="5164" max="5164" width="9.5" style="3" customWidth="1"/>
    <col min="5165" max="5165" width="9.09765625" style="3" customWidth="1"/>
    <col min="5166" max="5166" width="5.09765625" style="3" customWidth="1"/>
    <col min="5167" max="5167" width="15.09765625" style="3" customWidth="1"/>
    <col min="5168" max="5168" width="1.3984375" style="3" customWidth="1"/>
    <col min="5169" max="5169" width="0.8984375" style="3" customWidth="1"/>
    <col min="5170" max="5170" width="2.5" style="3" customWidth="1"/>
    <col min="5171" max="5171" width="6.59765625" style="3" customWidth="1"/>
    <col min="5172" max="5172" width="6.5" style="3" customWidth="1"/>
    <col min="5173" max="5173" width="2.5" style="3" customWidth="1"/>
    <col min="5174" max="5174" width="6.09765625" style="3" customWidth="1"/>
    <col min="5175" max="5175" width="1" style="3" customWidth="1"/>
    <col min="5176" max="5176" width="6.09765625" style="3" customWidth="1"/>
    <col min="5177" max="5177" width="1.5" style="3" customWidth="1"/>
    <col min="5178" max="5178" width="0.8984375" style="3" customWidth="1"/>
    <col min="5179" max="5179" width="1.5" style="3" customWidth="1"/>
    <col min="5180" max="5180" width="7.09765625" style="3" customWidth="1"/>
    <col min="5181" max="5181" width="4.59765625" style="3" customWidth="1"/>
    <col min="5182" max="5182" width="16.8984375" style="3" customWidth="1"/>
    <col min="5183" max="5183" width="2" style="3" customWidth="1"/>
    <col min="5184" max="5184" width="5.59765625" style="3" customWidth="1"/>
    <col min="5185" max="5376" width="11" style="3"/>
    <col min="5377" max="5377" width="5" style="3" customWidth="1"/>
    <col min="5378" max="5378" width="9.5" style="3" customWidth="1"/>
    <col min="5379" max="5379" width="9.09765625" style="3" customWidth="1"/>
    <col min="5380" max="5380" width="5.09765625" style="3" customWidth="1"/>
    <col min="5381" max="5381" width="15.09765625" style="3" customWidth="1"/>
    <col min="5382" max="5382" width="1.3984375" style="3" customWidth="1"/>
    <col min="5383" max="5383" width="0.8984375" style="3" customWidth="1"/>
    <col min="5384" max="5384" width="2.5" style="3" customWidth="1"/>
    <col min="5385" max="5385" width="6.59765625" style="3" customWidth="1"/>
    <col min="5386" max="5386" width="6.5" style="3" customWidth="1"/>
    <col min="5387" max="5387" width="2.5" style="3" customWidth="1"/>
    <col min="5388" max="5388" width="6.09765625" style="3" customWidth="1"/>
    <col min="5389" max="5389" width="1" style="3" customWidth="1"/>
    <col min="5390" max="5390" width="6.09765625" style="3" customWidth="1"/>
    <col min="5391" max="5391" width="1.5" style="3" customWidth="1"/>
    <col min="5392" max="5392" width="0.8984375" style="3" customWidth="1"/>
    <col min="5393" max="5393" width="1.5" style="3" customWidth="1"/>
    <col min="5394" max="5394" width="7.09765625" style="3" customWidth="1"/>
    <col min="5395" max="5395" width="5.3984375" style="3" customWidth="1"/>
    <col min="5396" max="5396" width="16.8984375" style="3" customWidth="1"/>
    <col min="5397" max="5397" width="2" style="3" customWidth="1"/>
    <col min="5398" max="5398" width="5.59765625" style="3" customWidth="1"/>
    <col min="5399" max="5399" width="9.5" style="3" customWidth="1"/>
    <col min="5400" max="5400" width="9.09765625" style="3" customWidth="1"/>
    <col min="5401" max="5401" width="5.09765625" style="3" customWidth="1"/>
    <col min="5402" max="5402" width="15.09765625" style="3" customWidth="1"/>
    <col min="5403" max="5403" width="1.3984375" style="3" customWidth="1"/>
    <col min="5404" max="5404" width="0.8984375" style="3" customWidth="1"/>
    <col min="5405" max="5405" width="2.5" style="3" customWidth="1"/>
    <col min="5406" max="5406" width="6.59765625" style="3" customWidth="1"/>
    <col min="5407" max="5407" width="6.5" style="3" customWidth="1"/>
    <col min="5408" max="5408" width="2.5" style="3" customWidth="1"/>
    <col min="5409" max="5409" width="6.09765625" style="3" customWidth="1"/>
    <col min="5410" max="5410" width="1" style="3" customWidth="1"/>
    <col min="5411" max="5411" width="6.09765625" style="3" customWidth="1"/>
    <col min="5412" max="5412" width="1.5" style="3" customWidth="1"/>
    <col min="5413" max="5413" width="0.8984375" style="3" customWidth="1"/>
    <col min="5414" max="5414" width="1.5" style="3" customWidth="1"/>
    <col min="5415" max="5415" width="7.09765625" style="3" customWidth="1"/>
    <col min="5416" max="5416" width="4.59765625" style="3" customWidth="1"/>
    <col min="5417" max="5417" width="16.8984375" style="3" customWidth="1"/>
    <col min="5418" max="5418" width="2" style="3" customWidth="1"/>
    <col min="5419" max="5419" width="5.59765625" style="3" customWidth="1"/>
    <col min="5420" max="5420" width="9.5" style="3" customWidth="1"/>
    <col min="5421" max="5421" width="9.09765625" style="3" customWidth="1"/>
    <col min="5422" max="5422" width="5.09765625" style="3" customWidth="1"/>
    <col min="5423" max="5423" width="15.09765625" style="3" customWidth="1"/>
    <col min="5424" max="5424" width="1.3984375" style="3" customWidth="1"/>
    <col min="5425" max="5425" width="0.8984375" style="3" customWidth="1"/>
    <col min="5426" max="5426" width="2.5" style="3" customWidth="1"/>
    <col min="5427" max="5427" width="6.59765625" style="3" customWidth="1"/>
    <col min="5428" max="5428" width="6.5" style="3" customWidth="1"/>
    <col min="5429" max="5429" width="2.5" style="3" customWidth="1"/>
    <col min="5430" max="5430" width="6.09765625" style="3" customWidth="1"/>
    <col min="5431" max="5431" width="1" style="3" customWidth="1"/>
    <col min="5432" max="5432" width="6.09765625" style="3" customWidth="1"/>
    <col min="5433" max="5433" width="1.5" style="3" customWidth="1"/>
    <col min="5434" max="5434" width="0.8984375" style="3" customWidth="1"/>
    <col min="5435" max="5435" width="1.5" style="3" customWidth="1"/>
    <col min="5436" max="5436" width="7.09765625" style="3" customWidth="1"/>
    <col min="5437" max="5437" width="4.59765625" style="3" customWidth="1"/>
    <col min="5438" max="5438" width="16.8984375" style="3" customWidth="1"/>
    <col min="5439" max="5439" width="2" style="3" customWidth="1"/>
    <col min="5440" max="5440" width="5.59765625" style="3" customWidth="1"/>
    <col min="5441" max="5632" width="11" style="3"/>
    <col min="5633" max="5633" width="5" style="3" customWidth="1"/>
    <col min="5634" max="5634" width="9.5" style="3" customWidth="1"/>
    <col min="5635" max="5635" width="9.09765625" style="3" customWidth="1"/>
    <col min="5636" max="5636" width="5.09765625" style="3" customWidth="1"/>
    <col min="5637" max="5637" width="15.09765625" style="3" customWidth="1"/>
    <col min="5638" max="5638" width="1.3984375" style="3" customWidth="1"/>
    <col min="5639" max="5639" width="0.8984375" style="3" customWidth="1"/>
    <col min="5640" max="5640" width="2.5" style="3" customWidth="1"/>
    <col min="5641" max="5641" width="6.59765625" style="3" customWidth="1"/>
    <col min="5642" max="5642" width="6.5" style="3" customWidth="1"/>
    <col min="5643" max="5643" width="2.5" style="3" customWidth="1"/>
    <col min="5644" max="5644" width="6.09765625" style="3" customWidth="1"/>
    <col min="5645" max="5645" width="1" style="3" customWidth="1"/>
    <col min="5646" max="5646" width="6.09765625" style="3" customWidth="1"/>
    <col min="5647" max="5647" width="1.5" style="3" customWidth="1"/>
    <col min="5648" max="5648" width="0.8984375" style="3" customWidth="1"/>
    <col min="5649" max="5649" width="1.5" style="3" customWidth="1"/>
    <col min="5650" max="5650" width="7.09765625" style="3" customWidth="1"/>
    <col min="5651" max="5651" width="5.3984375" style="3" customWidth="1"/>
    <col min="5652" max="5652" width="16.8984375" style="3" customWidth="1"/>
    <col min="5653" max="5653" width="2" style="3" customWidth="1"/>
    <col min="5654" max="5654" width="5.59765625" style="3" customWidth="1"/>
    <col min="5655" max="5655" width="9.5" style="3" customWidth="1"/>
    <col min="5656" max="5656" width="9.09765625" style="3" customWidth="1"/>
    <col min="5657" max="5657" width="5.09765625" style="3" customWidth="1"/>
    <col min="5658" max="5658" width="15.09765625" style="3" customWidth="1"/>
    <col min="5659" max="5659" width="1.3984375" style="3" customWidth="1"/>
    <col min="5660" max="5660" width="0.8984375" style="3" customWidth="1"/>
    <col min="5661" max="5661" width="2.5" style="3" customWidth="1"/>
    <col min="5662" max="5662" width="6.59765625" style="3" customWidth="1"/>
    <col min="5663" max="5663" width="6.5" style="3" customWidth="1"/>
    <col min="5664" max="5664" width="2.5" style="3" customWidth="1"/>
    <col min="5665" max="5665" width="6.09765625" style="3" customWidth="1"/>
    <col min="5666" max="5666" width="1" style="3" customWidth="1"/>
    <col min="5667" max="5667" width="6.09765625" style="3" customWidth="1"/>
    <col min="5668" max="5668" width="1.5" style="3" customWidth="1"/>
    <col min="5669" max="5669" width="0.8984375" style="3" customWidth="1"/>
    <col min="5670" max="5670" width="1.5" style="3" customWidth="1"/>
    <col min="5671" max="5671" width="7.09765625" style="3" customWidth="1"/>
    <col min="5672" max="5672" width="4.59765625" style="3" customWidth="1"/>
    <col min="5673" max="5673" width="16.8984375" style="3" customWidth="1"/>
    <col min="5674" max="5674" width="2" style="3" customWidth="1"/>
    <col min="5675" max="5675" width="5.59765625" style="3" customWidth="1"/>
    <col min="5676" max="5676" width="9.5" style="3" customWidth="1"/>
    <col min="5677" max="5677" width="9.09765625" style="3" customWidth="1"/>
    <col min="5678" max="5678" width="5.09765625" style="3" customWidth="1"/>
    <col min="5679" max="5679" width="15.09765625" style="3" customWidth="1"/>
    <col min="5680" max="5680" width="1.3984375" style="3" customWidth="1"/>
    <col min="5681" max="5681" width="0.8984375" style="3" customWidth="1"/>
    <col min="5682" max="5682" width="2.5" style="3" customWidth="1"/>
    <col min="5683" max="5683" width="6.59765625" style="3" customWidth="1"/>
    <col min="5684" max="5684" width="6.5" style="3" customWidth="1"/>
    <col min="5685" max="5685" width="2.5" style="3" customWidth="1"/>
    <col min="5686" max="5686" width="6.09765625" style="3" customWidth="1"/>
    <col min="5687" max="5687" width="1" style="3" customWidth="1"/>
    <col min="5688" max="5688" width="6.09765625" style="3" customWidth="1"/>
    <col min="5689" max="5689" width="1.5" style="3" customWidth="1"/>
    <col min="5690" max="5690" width="0.8984375" style="3" customWidth="1"/>
    <col min="5691" max="5691" width="1.5" style="3" customWidth="1"/>
    <col min="5692" max="5692" width="7.09765625" style="3" customWidth="1"/>
    <col min="5693" max="5693" width="4.59765625" style="3" customWidth="1"/>
    <col min="5694" max="5694" width="16.8984375" style="3" customWidth="1"/>
    <col min="5695" max="5695" width="2" style="3" customWidth="1"/>
    <col min="5696" max="5696" width="5.59765625" style="3" customWidth="1"/>
    <col min="5697" max="5888" width="11" style="3"/>
    <col min="5889" max="5889" width="5" style="3" customWidth="1"/>
    <col min="5890" max="5890" width="9.5" style="3" customWidth="1"/>
    <col min="5891" max="5891" width="9.09765625" style="3" customWidth="1"/>
    <col min="5892" max="5892" width="5.09765625" style="3" customWidth="1"/>
    <col min="5893" max="5893" width="15.09765625" style="3" customWidth="1"/>
    <col min="5894" max="5894" width="1.3984375" style="3" customWidth="1"/>
    <col min="5895" max="5895" width="0.8984375" style="3" customWidth="1"/>
    <col min="5896" max="5896" width="2.5" style="3" customWidth="1"/>
    <col min="5897" max="5897" width="6.59765625" style="3" customWidth="1"/>
    <col min="5898" max="5898" width="6.5" style="3" customWidth="1"/>
    <col min="5899" max="5899" width="2.5" style="3" customWidth="1"/>
    <col min="5900" max="5900" width="6.09765625" style="3" customWidth="1"/>
    <col min="5901" max="5901" width="1" style="3" customWidth="1"/>
    <col min="5902" max="5902" width="6.09765625" style="3" customWidth="1"/>
    <col min="5903" max="5903" width="1.5" style="3" customWidth="1"/>
    <col min="5904" max="5904" width="0.8984375" style="3" customWidth="1"/>
    <col min="5905" max="5905" width="1.5" style="3" customWidth="1"/>
    <col min="5906" max="5906" width="7.09765625" style="3" customWidth="1"/>
    <col min="5907" max="5907" width="5.3984375" style="3" customWidth="1"/>
    <col min="5908" max="5908" width="16.8984375" style="3" customWidth="1"/>
    <col min="5909" max="5909" width="2" style="3" customWidth="1"/>
    <col min="5910" max="5910" width="5.59765625" style="3" customWidth="1"/>
    <col min="5911" max="5911" width="9.5" style="3" customWidth="1"/>
    <col min="5912" max="5912" width="9.09765625" style="3" customWidth="1"/>
    <col min="5913" max="5913" width="5.09765625" style="3" customWidth="1"/>
    <col min="5914" max="5914" width="15.09765625" style="3" customWidth="1"/>
    <col min="5915" max="5915" width="1.3984375" style="3" customWidth="1"/>
    <col min="5916" max="5916" width="0.8984375" style="3" customWidth="1"/>
    <col min="5917" max="5917" width="2.5" style="3" customWidth="1"/>
    <col min="5918" max="5918" width="6.59765625" style="3" customWidth="1"/>
    <col min="5919" max="5919" width="6.5" style="3" customWidth="1"/>
    <col min="5920" max="5920" width="2.5" style="3" customWidth="1"/>
    <col min="5921" max="5921" width="6.09765625" style="3" customWidth="1"/>
    <col min="5922" max="5922" width="1" style="3" customWidth="1"/>
    <col min="5923" max="5923" width="6.09765625" style="3" customWidth="1"/>
    <col min="5924" max="5924" width="1.5" style="3" customWidth="1"/>
    <col min="5925" max="5925" width="0.8984375" style="3" customWidth="1"/>
    <col min="5926" max="5926" width="1.5" style="3" customWidth="1"/>
    <col min="5927" max="5927" width="7.09765625" style="3" customWidth="1"/>
    <col min="5928" max="5928" width="4.59765625" style="3" customWidth="1"/>
    <col min="5929" max="5929" width="16.8984375" style="3" customWidth="1"/>
    <col min="5930" max="5930" width="2" style="3" customWidth="1"/>
    <col min="5931" max="5931" width="5.59765625" style="3" customWidth="1"/>
    <col min="5932" max="5932" width="9.5" style="3" customWidth="1"/>
    <col min="5933" max="5933" width="9.09765625" style="3" customWidth="1"/>
    <col min="5934" max="5934" width="5.09765625" style="3" customWidth="1"/>
    <col min="5935" max="5935" width="15.09765625" style="3" customWidth="1"/>
    <col min="5936" max="5936" width="1.3984375" style="3" customWidth="1"/>
    <col min="5937" max="5937" width="0.8984375" style="3" customWidth="1"/>
    <col min="5938" max="5938" width="2.5" style="3" customWidth="1"/>
    <col min="5939" max="5939" width="6.59765625" style="3" customWidth="1"/>
    <col min="5940" max="5940" width="6.5" style="3" customWidth="1"/>
    <col min="5941" max="5941" width="2.5" style="3" customWidth="1"/>
    <col min="5942" max="5942" width="6.09765625" style="3" customWidth="1"/>
    <col min="5943" max="5943" width="1" style="3" customWidth="1"/>
    <col min="5944" max="5944" width="6.09765625" style="3" customWidth="1"/>
    <col min="5945" max="5945" width="1.5" style="3" customWidth="1"/>
    <col min="5946" max="5946" width="0.8984375" style="3" customWidth="1"/>
    <col min="5947" max="5947" width="1.5" style="3" customWidth="1"/>
    <col min="5948" max="5948" width="7.09765625" style="3" customWidth="1"/>
    <col min="5949" max="5949" width="4.59765625" style="3" customWidth="1"/>
    <col min="5950" max="5950" width="16.8984375" style="3" customWidth="1"/>
    <col min="5951" max="5951" width="2" style="3" customWidth="1"/>
    <col min="5952" max="5952" width="5.59765625" style="3" customWidth="1"/>
    <col min="5953" max="6144" width="11" style="3"/>
    <col min="6145" max="6145" width="5" style="3" customWidth="1"/>
    <col min="6146" max="6146" width="9.5" style="3" customWidth="1"/>
    <col min="6147" max="6147" width="9.09765625" style="3" customWidth="1"/>
    <col min="6148" max="6148" width="5.09765625" style="3" customWidth="1"/>
    <col min="6149" max="6149" width="15.09765625" style="3" customWidth="1"/>
    <col min="6150" max="6150" width="1.3984375" style="3" customWidth="1"/>
    <col min="6151" max="6151" width="0.8984375" style="3" customWidth="1"/>
    <col min="6152" max="6152" width="2.5" style="3" customWidth="1"/>
    <col min="6153" max="6153" width="6.59765625" style="3" customWidth="1"/>
    <col min="6154" max="6154" width="6.5" style="3" customWidth="1"/>
    <col min="6155" max="6155" width="2.5" style="3" customWidth="1"/>
    <col min="6156" max="6156" width="6.09765625" style="3" customWidth="1"/>
    <col min="6157" max="6157" width="1" style="3" customWidth="1"/>
    <col min="6158" max="6158" width="6.09765625" style="3" customWidth="1"/>
    <col min="6159" max="6159" width="1.5" style="3" customWidth="1"/>
    <col min="6160" max="6160" width="0.8984375" style="3" customWidth="1"/>
    <col min="6161" max="6161" width="1.5" style="3" customWidth="1"/>
    <col min="6162" max="6162" width="7.09765625" style="3" customWidth="1"/>
    <col min="6163" max="6163" width="5.3984375" style="3" customWidth="1"/>
    <col min="6164" max="6164" width="16.8984375" style="3" customWidth="1"/>
    <col min="6165" max="6165" width="2" style="3" customWidth="1"/>
    <col min="6166" max="6166" width="5.59765625" style="3" customWidth="1"/>
    <col min="6167" max="6167" width="9.5" style="3" customWidth="1"/>
    <col min="6168" max="6168" width="9.09765625" style="3" customWidth="1"/>
    <col min="6169" max="6169" width="5.09765625" style="3" customWidth="1"/>
    <col min="6170" max="6170" width="15.09765625" style="3" customWidth="1"/>
    <col min="6171" max="6171" width="1.3984375" style="3" customWidth="1"/>
    <col min="6172" max="6172" width="0.8984375" style="3" customWidth="1"/>
    <col min="6173" max="6173" width="2.5" style="3" customWidth="1"/>
    <col min="6174" max="6174" width="6.59765625" style="3" customWidth="1"/>
    <col min="6175" max="6175" width="6.5" style="3" customWidth="1"/>
    <col min="6176" max="6176" width="2.5" style="3" customWidth="1"/>
    <col min="6177" max="6177" width="6.09765625" style="3" customWidth="1"/>
    <col min="6178" max="6178" width="1" style="3" customWidth="1"/>
    <col min="6179" max="6179" width="6.09765625" style="3" customWidth="1"/>
    <col min="6180" max="6180" width="1.5" style="3" customWidth="1"/>
    <col min="6181" max="6181" width="0.8984375" style="3" customWidth="1"/>
    <col min="6182" max="6182" width="1.5" style="3" customWidth="1"/>
    <col min="6183" max="6183" width="7.09765625" style="3" customWidth="1"/>
    <col min="6184" max="6184" width="4.59765625" style="3" customWidth="1"/>
    <col min="6185" max="6185" width="16.8984375" style="3" customWidth="1"/>
    <col min="6186" max="6186" width="2" style="3" customWidth="1"/>
    <col min="6187" max="6187" width="5.59765625" style="3" customWidth="1"/>
    <col min="6188" max="6188" width="9.5" style="3" customWidth="1"/>
    <col min="6189" max="6189" width="9.09765625" style="3" customWidth="1"/>
    <col min="6190" max="6190" width="5.09765625" style="3" customWidth="1"/>
    <col min="6191" max="6191" width="15.09765625" style="3" customWidth="1"/>
    <col min="6192" max="6192" width="1.3984375" style="3" customWidth="1"/>
    <col min="6193" max="6193" width="0.8984375" style="3" customWidth="1"/>
    <col min="6194" max="6194" width="2.5" style="3" customWidth="1"/>
    <col min="6195" max="6195" width="6.59765625" style="3" customWidth="1"/>
    <col min="6196" max="6196" width="6.5" style="3" customWidth="1"/>
    <col min="6197" max="6197" width="2.5" style="3" customWidth="1"/>
    <col min="6198" max="6198" width="6.09765625" style="3" customWidth="1"/>
    <col min="6199" max="6199" width="1" style="3" customWidth="1"/>
    <col min="6200" max="6200" width="6.09765625" style="3" customWidth="1"/>
    <col min="6201" max="6201" width="1.5" style="3" customWidth="1"/>
    <col min="6202" max="6202" width="0.8984375" style="3" customWidth="1"/>
    <col min="6203" max="6203" width="1.5" style="3" customWidth="1"/>
    <col min="6204" max="6204" width="7.09765625" style="3" customWidth="1"/>
    <col min="6205" max="6205" width="4.59765625" style="3" customWidth="1"/>
    <col min="6206" max="6206" width="16.8984375" style="3" customWidth="1"/>
    <col min="6207" max="6207" width="2" style="3" customWidth="1"/>
    <col min="6208" max="6208" width="5.59765625" style="3" customWidth="1"/>
    <col min="6209" max="6400" width="11" style="3"/>
    <col min="6401" max="6401" width="5" style="3" customWidth="1"/>
    <col min="6402" max="6402" width="9.5" style="3" customWidth="1"/>
    <col min="6403" max="6403" width="9.09765625" style="3" customWidth="1"/>
    <col min="6404" max="6404" width="5.09765625" style="3" customWidth="1"/>
    <col min="6405" max="6405" width="15.09765625" style="3" customWidth="1"/>
    <col min="6406" max="6406" width="1.3984375" style="3" customWidth="1"/>
    <col min="6407" max="6407" width="0.8984375" style="3" customWidth="1"/>
    <col min="6408" max="6408" width="2.5" style="3" customWidth="1"/>
    <col min="6409" max="6409" width="6.59765625" style="3" customWidth="1"/>
    <col min="6410" max="6410" width="6.5" style="3" customWidth="1"/>
    <col min="6411" max="6411" width="2.5" style="3" customWidth="1"/>
    <col min="6412" max="6412" width="6.09765625" style="3" customWidth="1"/>
    <col min="6413" max="6413" width="1" style="3" customWidth="1"/>
    <col min="6414" max="6414" width="6.09765625" style="3" customWidth="1"/>
    <col min="6415" max="6415" width="1.5" style="3" customWidth="1"/>
    <col min="6416" max="6416" width="0.8984375" style="3" customWidth="1"/>
    <col min="6417" max="6417" width="1.5" style="3" customWidth="1"/>
    <col min="6418" max="6418" width="7.09765625" style="3" customWidth="1"/>
    <col min="6419" max="6419" width="5.3984375" style="3" customWidth="1"/>
    <col min="6420" max="6420" width="16.8984375" style="3" customWidth="1"/>
    <col min="6421" max="6421" width="2" style="3" customWidth="1"/>
    <col min="6422" max="6422" width="5.59765625" style="3" customWidth="1"/>
    <col min="6423" max="6423" width="9.5" style="3" customWidth="1"/>
    <col min="6424" max="6424" width="9.09765625" style="3" customWidth="1"/>
    <col min="6425" max="6425" width="5.09765625" style="3" customWidth="1"/>
    <col min="6426" max="6426" width="15.09765625" style="3" customWidth="1"/>
    <col min="6427" max="6427" width="1.3984375" style="3" customWidth="1"/>
    <col min="6428" max="6428" width="0.8984375" style="3" customWidth="1"/>
    <col min="6429" max="6429" width="2.5" style="3" customWidth="1"/>
    <col min="6430" max="6430" width="6.59765625" style="3" customWidth="1"/>
    <col min="6431" max="6431" width="6.5" style="3" customWidth="1"/>
    <col min="6432" max="6432" width="2.5" style="3" customWidth="1"/>
    <col min="6433" max="6433" width="6.09765625" style="3" customWidth="1"/>
    <col min="6434" max="6434" width="1" style="3" customWidth="1"/>
    <col min="6435" max="6435" width="6.09765625" style="3" customWidth="1"/>
    <col min="6436" max="6436" width="1.5" style="3" customWidth="1"/>
    <col min="6437" max="6437" width="0.8984375" style="3" customWidth="1"/>
    <col min="6438" max="6438" width="1.5" style="3" customWidth="1"/>
    <col min="6439" max="6439" width="7.09765625" style="3" customWidth="1"/>
    <col min="6440" max="6440" width="4.59765625" style="3" customWidth="1"/>
    <col min="6441" max="6441" width="16.8984375" style="3" customWidth="1"/>
    <col min="6442" max="6442" width="2" style="3" customWidth="1"/>
    <col min="6443" max="6443" width="5.59765625" style="3" customWidth="1"/>
    <col min="6444" max="6444" width="9.5" style="3" customWidth="1"/>
    <col min="6445" max="6445" width="9.09765625" style="3" customWidth="1"/>
    <col min="6446" max="6446" width="5.09765625" style="3" customWidth="1"/>
    <col min="6447" max="6447" width="15.09765625" style="3" customWidth="1"/>
    <col min="6448" max="6448" width="1.3984375" style="3" customWidth="1"/>
    <col min="6449" max="6449" width="0.8984375" style="3" customWidth="1"/>
    <col min="6450" max="6450" width="2.5" style="3" customWidth="1"/>
    <col min="6451" max="6451" width="6.59765625" style="3" customWidth="1"/>
    <col min="6452" max="6452" width="6.5" style="3" customWidth="1"/>
    <col min="6453" max="6453" width="2.5" style="3" customWidth="1"/>
    <col min="6454" max="6454" width="6.09765625" style="3" customWidth="1"/>
    <col min="6455" max="6455" width="1" style="3" customWidth="1"/>
    <col min="6456" max="6456" width="6.09765625" style="3" customWidth="1"/>
    <col min="6457" max="6457" width="1.5" style="3" customWidth="1"/>
    <col min="6458" max="6458" width="0.8984375" style="3" customWidth="1"/>
    <col min="6459" max="6459" width="1.5" style="3" customWidth="1"/>
    <col min="6460" max="6460" width="7.09765625" style="3" customWidth="1"/>
    <col min="6461" max="6461" width="4.59765625" style="3" customWidth="1"/>
    <col min="6462" max="6462" width="16.8984375" style="3" customWidth="1"/>
    <col min="6463" max="6463" width="2" style="3" customWidth="1"/>
    <col min="6464" max="6464" width="5.59765625" style="3" customWidth="1"/>
    <col min="6465" max="6656" width="11" style="3"/>
    <col min="6657" max="6657" width="5" style="3" customWidth="1"/>
    <col min="6658" max="6658" width="9.5" style="3" customWidth="1"/>
    <col min="6659" max="6659" width="9.09765625" style="3" customWidth="1"/>
    <col min="6660" max="6660" width="5.09765625" style="3" customWidth="1"/>
    <col min="6661" max="6661" width="15.09765625" style="3" customWidth="1"/>
    <col min="6662" max="6662" width="1.3984375" style="3" customWidth="1"/>
    <col min="6663" max="6663" width="0.8984375" style="3" customWidth="1"/>
    <col min="6664" max="6664" width="2.5" style="3" customWidth="1"/>
    <col min="6665" max="6665" width="6.59765625" style="3" customWidth="1"/>
    <col min="6666" max="6666" width="6.5" style="3" customWidth="1"/>
    <col min="6667" max="6667" width="2.5" style="3" customWidth="1"/>
    <col min="6668" max="6668" width="6.09765625" style="3" customWidth="1"/>
    <col min="6669" max="6669" width="1" style="3" customWidth="1"/>
    <col min="6670" max="6670" width="6.09765625" style="3" customWidth="1"/>
    <col min="6671" max="6671" width="1.5" style="3" customWidth="1"/>
    <col min="6672" max="6672" width="0.8984375" style="3" customWidth="1"/>
    <col min="6673" max="6673" width="1.5" style="3" customWidth="1"/>
    <col min="6674" max="6674" width="7.09765625" style="3" customWidth="1"/>
    <col min="6675" max="6675" width="5.3984375" style="3" customWidth="1"/>
    <col min="6676" max="6676" width="16.8984375" style="3" customWidth="1"/>
    <col min="6677" max="6677" width="2" style="3" customWidth="1"/>
    <col min="6678" max="6678" width="5.59765625" style="3" customWidth="1"/>
    <col min="6679" max="6679" width="9.5" style="3" customWidth="1"/>
    <col min="6680" max="6680" width="9.09765625" style="3" customWidth="1"/>
    <col min="6681" max="6681" width="5.09765625" style="3" customWidth="1"/>
    <col min="6682" max="6682" width="15.09765625" style="3" customWidth="1"/>
    <col min="6683" max="6683" width="1.3984375" style="3" customWidth="1"/>
    <col min="6684" max="6684" width="0.8984375" style="3" customWidth="1"/>
    <col min="6685" max="6685" width="2.5" style="3" customWidth="1"/>
    <col min="6686" max="6686" width="6.59765625" style="3" customWidth="1"/>
    <col min="6687" max="6687" width="6.5" style="3" customWidth="1"/>
    <col min="6688" max="6688" width="2.5" style="3" customWidth="1"/>
    <col min="6689" max="6689" width="6.09765625" style="3" customWidth="1"/>
    <col min="6690" max="6690" width="1" style="3" customWidth="1"/>
    <col min="6691" max="6691" width="6.09765625" style="3" customWidth="1"/>
    <col min="6692" max="6692" width="1.5" style="3" customWidth="1"/>
    <col min="6693" max="6693" width="0.8984375" style="3" customWidth="1"/>
    <col min="6694" max="6694" width="1.5" style="3" customWidth="1"/>
    <col min="6695" max="6695" width="7.09765625" style="3" customWidth="1"/>
    <col min="6696" max="6696" width="4.59765625" style="3" customWidth="1"/>
    <col min="6697" max="6697" width="16.8984375" style="3" customWidth="1"/>
    <col min="6698" max="6698" width="2" style="3" customWidth="1"/>
    <col min="6699" max="6699" width="5.59765625" style="3" customWidth="1"/>
    <col min="6700" max="6700" width="9.5" style="3" customWidth="1"/>
    <col min="6701" max="6701" width="9.09765625" style="3" customWidth="1"/>
    <col min="6702" max="6702" width="5.09765625" style="3" customWidth="1"/>
    <col min="6703" max="6703" width="15.09765625" style="3" customWidth="1"/>
    <col min="6704" max="6704" width="1.3984375" style="3" customWidth="1"/>
    <col min="6705" max="6705" width="0.8984375" style="3" customWidth="1"/>
    <col min="6706" max="6706" width="2.5" style="3" customWidth="1"/>
    <col min="6707" max="6707" width="6.59765625" style="3" customWidth="1"/>
    <col min="6708" max="6708" width="6.5" style="3" customWidth="1"/>
    <col min="6709" max="6709" width="2.5" style="3" customWidth="1"/>
    <col min="6710" max="6710" width="6.09765625" style="3" customWidth="1"/>
    <col min="6711" max="6711" width="1" style="3" customWidth="1"/>
    <col min="6712" max="6712" width="6.09765625" style="3" customWidth="1"/>
    <col min="6713" max="6713" width="1.5" style="3" customWidth="1"/>
    <col min="6714" max="6714" width="0.8984375" style="3" customWidth="1"/>
    <col min="6715" max="6715" width="1.5" style="3" customWidth="1"/>
    <col min="6716" max="6716" width="7.09765625" style="3" customWidth="1"/>
    <col min="6717" max="6717" width="4.59765625" style="3" customWidth="1"/>
    <col min="6718" max="6718" width="16.8984375" style="3" customWidth="1"/>
    <col min="6719" max="6719" width="2" style="3" customWidth="1"/>
    <col min="6720" max="6720" width="5.59765625" style="3" customWidth="1"/>
    <col min="6721" max="6912" width="11" style="3"/>
    <col min="6913" max="6913" width="5" style="3" customWidth="1"/>
    <col min="6914" max="6914" width="9.5" style="3" customWidth="1"/>
    <col min="6915" max="6915" width="9.09765625" style="3" customWidth="1"/>
    <col min="6916" max="6916" width="5.09765625" style="3" customWidth="1"/>
    <col min="6917" max="6917" width="15.09765625" style="3" customWidth="1"/>
    <col min="6918" max="6918" width="1.3984375" style="3" customWidth="1"/>
    <col min="6919" max="6919" width="0.8984375" style="3" customWidth="1"/>
    <col min="6920" max="6920" width="2.5" style="3" customWidth="1"/>
    <col min="6921" max="6921" width="6.59765625" style="3" customWidth="1"/>
    <col min="6922" max="6922" width="6.5" style="3" customWidth="1"/>
    <col min="6923" max="6923" width="2.5" style="3" customWidth="1"/>
    <col min="6924" max="6924" width="6.09765625" style="3" customWidth="1"/>
    <col min="6925" max="6925" width="1" style="3" customWidth="1"/>
    <col min="6926" max="6926" width="6.09765625" style="3" customWidth="1"/>
    <col min="6927" max="6927" width="1.5" style="3" customWidth="1"/>
    <col min="6928" max="6928" width="0.8984375" style="3" customWidth="1"/>
    <col min="6929" max="6929" width="1.5" style="3" customWidth="1"/>
    <col min="6930" max="6930" width="7.09765625" style="3" customWidth="1"/>
    <col min="6931" max="6931" width="5.3984375" style="3" customWidth="1"/>
    <col min="6932" max="6932" width="16.8984375" style="3" customWidth="1"/>
    <col min="6933" max="6933" width="2" style="3" customWidth="1"/>
    <col min="6934" max="6934" width="5.59765625" style="3" customWidth="1"/>
    <col min="6935" max="6935" width="9.5" style="3" customWidth="1"/>
    <col min="6936" max="6936" width="9.09765625" style="3" customWidth="1"/>
    <col min="6937" max="6937" width="5.09765625" style="3" customWidth="1"/>
    <col min="6938" max="6938" width="15.09765625" style="3" customWidth="1"/>
    <col min="6939" max="6939" width="1.3984375" style="3" customWidth="1"/>
    <col min="6940" max="6940" width="0.8984375" style="3" customWidth="1"/>
    <col min="6941" max="6941" width="2.5" style="3" customWidth="1"/>
    <col min="6942" max="6942" width="6.59765625" style="3" customWidth="1"/>
    <col min="6943" max="6943" width="6.5" style="3" customWidth="1"/>
    <col min="6944" max="6944" width="2.5" style="3" customWidth="1"/>
    <col min="6945" max="6945" width="6.09765625" style="3" customWidth="1"/>
    <col min="6946" max="6946" width="1" style="3" customWidth="1"/>
    <col min="6947" max="6947" width="6.09765625" style="3" customWidth="1"/>
    <col min="6948" max="6948" width="1.5" style="3" customWidth="1"/>
    <col min="6949" max="6949" width="0.8984375" style="3" customWidth="1"/>
    <col min="6950" max="6950" width="1.5" style="3" customWidth="1"/>
    <col min="6951" max="6951" width="7.09765625" style="3" customWidth="1"/>
    <col min="6952" max="6952" width="4.59765625" style="3" customWidth="1"/>
    <col min="6953" max="6953" width="16.8984375" style="3" customWidth="1"/>
    <col min="6954" max="6954" width="2" style="3" customWidth="1"/>
    <col min="6955" max="6955" width="5.59765625" style="3" customWidth="1"/>
    <col min="6956" max="6956" width="9.5" style="3" customWidth="1"/>
    <col min="6957" max="6957" width="9.09765625" style="3" customWidth="1"/>
    <col min="6958" max="6958" width="5.09765625" style="3" customWidth="1"/>
    <col min="6959" max="6959" width="15.09765625" style="3" customWidth="1"/>
    <col min="6960" max="6960" width="1.3984375" style="3" customWidth="1"/>
    <col min="6961" max="6961" width="0.8984375" style="3" customWidth="1"/>
    <col min="6962" max="6962" width="2.5" style="3" customWidth="1"/>
    <col min="6963" max="6963" width="6.59765625" style="3" customWidth="1"/>
    <col min="6964" max="6964" width="6.5" style="3" customWidth="1"/>
    <col min="6965" max="6965" width="2.5" style="3" customWidth="1"/>
    <col min="6966" max="6966" width="6.09765625" style="3" customWidth="1"/>
    <col min="6967" max="6967" width="1" style="3" customWidth="1"/>
    <col min="6968" max="6968" width="6.09765625" style="3" customWidth="1"/>
    <col min="6969" max="6969" width="1.5" style="3" customWidth="1"/>
    <col min="6970" max="6970" width="0.8984375" style="3" customWidth="1"/>
    <col min="6971" max="6971" width="1.5" style="3" customWidth="1"/>
    <col min="6972" max="6972" width="7.09765625" style="3" customWidth="1"/>
    <col min="6973" max="6973" width="4.59765625" style="3" customWidth="1"/>
    <col min="6974" max="6974" width="16.8984375" style="3" customWidth="1"/>
    <col min="6975" max="6975" width="2" style="3" customWidth="1"/>
    <col min="6976" max="6976" width="5.59765625" style="3" customWidth="1"/>
    <col min="6977" max="7168" width="11" style="3"/>
    <col min="7169" max="7169" width="5" style="3" customWidth="1"/>
    <col min="7170" max="7170" width="9.5" style="3" customWidth="1"/>
    <col min="7171" max="7171" width="9.09765625" style="3" customWidth="1"/>
    <col min="7172" max="7172" width="5.09765625" style="3" customWidth="1"/>
    <col min="7173" max="7173" width="15.09765625" style="3" customWidth="1"/>
    <col min="7174" max="7174" width="1.3984375" style="3" customWidth="1"/>
    <col min="7175" max="7175" width="0.8984375" style="3" customWidth="1"/>
    <col min="7176" max="7176" width="2.5" style="3" customWidth="1"/>
    <col min="7177" max="7177" width="6.59765625" style="3" customWidth="1"/>
    <col min="7178" max="7178" width="6.5" style="3" customWidth="1"/>
    <col min="7179" max="7179" width="2.5" style="3" customWidth="1"/>
    <col min="7180" max="7180" width="6.09765625" style="3" customWidth="1"/>
    <col min="7181" max="7181" width="1" style="3" customWidth="1"/>
    <col min="7182" max="7182" width="6.09765625" style="3" customWidth="1"/>
    <col min="7183" max="7183" width="1.5" style="3" customWidth="1"/>
    <col min="7184" max="7184" width="0.8984375" style="3" customWidth="1"/>
    <col min="7185" max="7185" width="1.5" style="3" customWidth="1"/>
    <col min="7186" max="7186" width="7.09765625" style="3" customWidth="1"/>
    <col min="7187" max="7187" width="5.3984375" style="3" customWidth="1"/>
    <col min="7188" max="7188" width="16.8984375" style="3" customWidth="1"/>
    <col min="7189" max="7189" width="2" style="3" customWidth="1"/>
    <col min="7190" max="7190" width="5.59765625" style="3" customWidth="1"/>
    <col min="7191" max="7191" width="9.5" style="3" customWidth="1"/>
    <col min="7192" max="7192" width="9.09765625" style="3" customWidth="1"/>
    <col min="7193" max="7193" width="5.09765625" style="3" customWidth="1"/>
    <col min="7194" max="7194" width="15.09765625" style="3" customWidth="1"/>
    <col min="7195" max="7195" width="1.3984375" style="3" customWidth="1"/>
    <col min="7196" max="7196" width="0.8984375" style="3" customWidth="1"/>
    <col min="7197" max="7197" width="2.5" style="3" customWidth="1"/>
    <col min="7198" max="7198" width="6.59765625" style="3" customWidth="1"/>
    <col min="7199" max="7199" width="6.5" style="3" customWidth="1"/>
    <col min="7200" max="7200" width="2.5" style="3" customWidth="1"/>
    <col min="7201" max="7201" width="6.09765625" style="3" customWidth="1"/>
    <col min="7202" max="7202" width="1" style="3" customWidth="1"/>
    <col min="7203" max="7203" width="6.09765625" style="3" customWidth="1"/>
    <col min="7204" max="7204" width="1.5" style="3" customWidth="1"/>
    <col min="7205" max="7205" width="0.8984375" style="3" customWidth="1"/>
    <col min="7206" max="7206" width="1.5" style="3" customWidth="1"/>
    <col min="7207" max="7207" width="7.09765625" style="3" customWidth="1"/>
    <col min="7208" max="7208" width="4.59765625" style="3" customWidth="1"/>
    <col min="7209" max="7209" width="16.8984375" style="3" customWidth="1"/>
    <col min="7210" max="7210" width="2" style="3" customWidth="1"/>
    <col min="7211" max="7211" width="5.59765625" style="3" customWidth="1"/>
    <col min="7212" max="7212" width="9.5" style="3" customWidth="1"/>
    <col min="7213" max="7213" width="9.09765625" style="3" customWidth="1"/>
    <col min="7214" max="7214" width="5.09765625" style="3" customWidth="1"/>
    <col min="7215" max="7215" width="15.09765625" style="3" customWidth="1"/>
    <col min="7216" max="7216" width="1.3984375" style="3" customWidth="1"/>
    <col min="7217" max="7217" width="0.8984375" style="3" customWidth="1"/>
    <col min="7218" max="7218" width="2.5" style="3" customWidth="1"/>
    <col min="7219" max="7219" width="6.59765625" style="3" customWidth="1"/>
    <col min="7220" max="7220" width="6.5" style="3" customWidth="1"/>
    <col min="7221" max="7221" width="2.5" style="3" customWidth="1"/>
    <col min="7222" max="7222" width="6.09765625" style="3" customWidth="1"/>
    <col min="7223" max="7223" width="1" style="3" customWidth="1"/>
    <col min="7224" max="7224" width="6.09765625" style="3" customWidth="1"/>
    <col min="7225" max="7225" width="1.5" style="3" customWidth="1"/>
    <col min="7226" max="7226" width="0.8984375" style="3" customWidth="1"/>
    <col min="7227" max="7227" width="1.5" style="3" customWidth="1"/>
    <col min="7228" max="7228" width="7.09765625" style="3" customWidth="1"/>
    <col min="7229" max="7229" width="4.59765625" style="3" customWidth="1"/>
    <col min="7230" max="7230" width="16.8984375" style="3" customWidth="1"/>
    <col min="7231" max="7231" width="2" style="3" customWidth="1"/>
    <col min="7232" max="7232" width="5.59765625" style="3" customWidth="1"/>
    <col min="7233" max="7424" width="11" style="3"/>
    <col min="7425" max="7425" width="5" style="3" customWidth="1"/>
    <col min="7426" max="7426" width="9.5" style="3" customWidth="1"/>
    <col min="7427" max="7427" width="9.09765625" style="3" customWidth="1"/>
    <col min="7428" max="7428" width="5.09765625" style="3" customWidth="1"/>
    <col min="7429" max="7429" width="15.09765625" style="3" customWidth="1"/>
    <col min="7430" max="7430" width="1.3984375" style="3" customWidth="1"/>
    <col min="7431" max="7431" width="0.8984375" style="3" customWidth="1"/>
    <col min="7432" max="7432" width="2.5" style="3" customWidth="1"/>
    <col min="7433" max="7433" width="6.59765625" style="3" customWidth="1"/>
    <col min="7434" max="7434" width="6.5" style="3" customWidth="1"/>
    <col min="7435" max="7435" width="2.5" style="3" customWidth="1"/>
    <col min="7436" max="7436" width="6.09765625" style="3" customWidth="1"/>
    <col min="7437" max="7437" width="1" style="3" customWidth="1"/>
    <col min="7438" max="7438" width="6.09765625" style="3" customWidth="1"/>
    <col min="7439" max="7439" width="1.5" style="3" customWidth="1"/>
    <col min="7440" max="7440" width="0.8984375" style="3" customWidth="1"/>
    <col min="7441" max="7441" width="1.5" style="3" customWidth="1"/>
    <col min="7442" max="7442" width="7.09765625" style="3" customWidth="1"/>
    <col min="7443" max="7443" width="5.3984375" style="3" customWidth="1"/>
    <col min="7444" max="7444" width="16.8984375" style="3" customWidth="1"/>
    <col min="7445" max="7445" width="2" style="3" customWidth="1"/>
    <col min="7446" max="7446" width="5.59765625" style="3" customWidth="1"/>
    <col min="7447" max="7447" width="9.5" style="3" customWidth="1"/>
    <col min="7448" max="7448" width="9.09765625" style="3" customWidth="1"/>
    <col min="7449" max="7449" width="5.09765625" style="3" customWidth="1"/>
    <col min="7450" max="7450" width="15.09765625" style="3" customWidth="1"/>
    <col min="7451" max="7451" width="1.3984375" style="3" customWidth="1"/>
    <col min="7452" max="7452" width="0.8984375" style="3" customWidth="1"/>
    <col min="7453" max="7453" width="2.5" style="3" customWidth="1"/>
    <col min="7454" max="7454" width="6.59765625" style="3" customWidth="1"/>
    <col min="7455" max="7455" width="6.5" style="3" customWidth="1"/>
    <col min="7456" max="7456" width="2.5" style="3" customWidth="1"/>
    <col min="7457" max="7457" width="6.09765625" style="3" customWidth="1"/>
    <col min="7458" max="7458" width="1" style="3" customWidth="1"/>
    <col min="7459" max="7459" width="6.09765625" style="3" customWidth="1"/>
    <col min="7460" max="7460" width="1.5" style="3" customWidth="1"/>
    <col min="7461" max="7461" width="0.8984375" style="3" customWidth="1"/>
    <col min="7462" max="7462" width="1.5" style="3" customWidth="1"/>
    <col min="7463" max="7463" width="7.09765625" style="3" customWidth="1"/>
    <col min="7464" max="7464" width="4.59765625" style="3" customWidth="1"/>
    <col min="7465" max="7465" width="16.8984375" style="3" customWidth="1"/>
    <col min="7466" max="7466" width="2" style="3" customWidth="1"/>
    <col min="7467" max="7467" width="5.59765625" style="3" customWidth="1"/>
    <col min="7468" max="7468" width="9.5" style="3" customWidth="1"/>
    <col min="7469" max="7469" width="9.09765625" style="3" customWidth="1"/>
    <col min="7470" max="7470" width="5.09765625" style="3" customWidth="1"/>
    <col min="7471" max="7471" width="15.09765625" style="3" customWidth="1"/>
    <col min="7472" max="7472" width="1.3984375" style="3" customWidth="1"/>
    <col min="7473" max="7473" width="0.8984375" style="3" customWidth="1"/>
    <col min="7474" max="7474" width="2.5" style="3" customWidth="1"/>
    <col min="7475" max="7475" width="6.59765625" style="3" customWidth="1"/>
    <col min="7476" max="7476" width="6.5" style="3" customWidth="1"/>
    <col min="7477" max="7477" width="2.5" style="3" customWidth="1"/>
    <col min="7478" max="7478" width="6.09765625" style="3" customWidth="1"/>
    <col min="7479" max="7479" width="1" style="3" customWidth="1"/>
    <col min="7480" max="7480" width="6.09765625" style="3" customWidth="1"/>
    <col min="7481" max="7481" width="1.5" style="3" customWidth="1"/>
    <col min="7482" max="7482" width="0.8984375" style="3" customWidth="1"/>
    <col min="7483" max="7483" width="1.5" style="3" customWidth="1"/>
    <col min="7484" max="7484" width="7.09765625" style="3" customWidth="1"/>
    <col min="7485" max="7485" width="4.59765625" style="3" customWidth="1"/>
    <col min="7486" max="7486" width="16.8984375" style="3" customWidth="1"/>
    <col min="7487" max="7487" width="2" style="3" customWidth="1"/>
    <col min="7488" max="7488" width="5.59765625" style="3" customWidth="1"/>
    <col min="7489" max="7680" width="11" style="3"/>
    <col min="7681" max="7681" width="5" style="3" customWidth="1"/>
    <col min="7682" max="7682" width="9.5" style="3" customWidth="1"/>
    <col min="7683" max="7683" width="9.09765625" style="3" customWidth="1"/>
    <col min="7684" max="7684" width="5.09765625" style="3" customWidth="1"/>
    <col min="7685" max="7685" width="15.09765625" style="3" customWidth="1"/>
    <col min="7686" max="7686" width="1.3984375" style="3" customWidth="1"/>
    <col min="7687" max="7687" width="0.8984375" style="3" customWidth="1"/>
    <col min="7688" max="7688" width="2.5" style="3" customWidth="1"/>
    <col min="7689" max="7689" width="6.59765625" style="3" customWidth="1"/>
    <col min="7690" max="7690" width="6.5" style="3" customWidth="1"/>
    <col min="7691" max="7691" width="2.5" style="3" customWidth="1"/>
    <col min="7692" max="7692" width="6.09765625" style="3" customWidth="1"/>
    <col min="7693" max="7693" width="1" style="3" customWidth="1"/>
    <col min="7694" max="7694" width="6.09765625" style="3" customWidth="1"/>
    <col min="7695" max="7695" width="1.5" style="3" customWidth="1"/>
    <col min="7696" max="7696" width="0.8984375" style="3" customWidth="1"/>
    <col min="7697" max="7697" width="1.5" style="3" customWidth="1"/>
    <col min="7698" max="7698" width="7.09765625" style="3" customWidth="1"/>
    <col min="7699" max="7699" width="5.3984375" style="3" customWidth="1"/>
    <col min="7700" max="7700" width="16.8984375" style="3" customWidth="1"/>
    <col min="7701" max="7701" width="2" style="3" customWidth="1"/>
    <col min="7702" max="7702" width="5.59765625" style="3" customWidth="1"/>
    <col min="7703" max="7703" width="9.5" style="3" customWidth="1"/>
    <col min="7704" max="7704" width="9.09765625" style="3" customWidth="1"/>
    <col min="7705" max="7705" width="5.09765625" style="3" customWidth="1"/>
    <col min="7706" max="7706" width="15.09765625" style="3" customWidth="1"/>
    <col min="7707" max="7707" width="1.3984375" style="3" customWidth="1"/>
    <col min="7708" max="7708" width="0.8984375" style="3" customWidth="1"/>
    <col min="7709" max="7709" width="2.5" style="3" customWidth="1"/>
    <col min="7710" max="7710" width="6.59765625" style="3" customWidth="1"/>
    <col min="7711" max="7711" width="6.5" style="3" customWidth="1"/>
    <col min="7712" max="7712" width="2.5" style="3" customWidth="1"/>
    <col min="7713" max="7713" width="6.09765625" style="3" customWidth="1"/>
    <col min="7714" max="7714" width="1" style="3" customWidth="1"/>
    <col min="7715" max="7715" width="6.09765625" style="3" customWidth="1"/>
    <col min="7716" max="7716" width="1.5" style="3" customWidth="1"/>
    <col min="7717" max="7717" width="0.8984375" style="3" customWidth="1"/>
    <col min="7718" max="7718" width="1.5" style="3" customWidth="1"/>
    <col min="7719" max="7719" width="7.09765625" style="3" customWidth="1"/>
    <col min="7720" max="7720" width="4.59765625" style="3" customWidth="1"/>
    <col min="7721" max="7721" width="16.8984375" style="3" customWidth="1"/>
    <col min="7722" max="7722" width="2" style="3" customWidth="1"/>
    <col min="7723" max="7723" width="5.59765625" style="3" customWidth="1"/>
    <col min="7724" max="7724" width="9.5" style="3" customWidth="1"/>
    <col min="7725" max="7725" width="9.09765625" style="3" customWidth="1"/>
    <col min="7726" max="7726" width="5.09765625" style="3" customWidth="1"/>
    <col min="7727" max="7727" width="15.09765625" style="3" customWidth="1"/>
    <col min="7728" max="7728" width="1.3984375" style="3" customWidth="1"/>
    <col min="7729" max="7729" width="0.8984375" style="3" customWidth="1"/>
    <col min="7730" max="7730" width="2.5" style="3" customWidth="1"/>
    <col min="7731" max="7731" width="6.59765625" style="3" customWidth="1"/>
    <col min="7732" max="7732" width="6.5" style="3" customWidth="1"/>
    <col min="7733" max="7733" width="2.5" style="3" customWidth="1"/>
    <col min="7734" max="7734" width="6.09765625" style="3" customWidth="1"/>
    <col min="7735" max="7735" width="1" style="3" customWidth="1"/>
    <col min="7736" max="7736" width="6.09765625" style="3" customWidth="1"/>
    <col min="7737" max="7737" width="1.5" style="3" customWidth="1"/>
    <col min="7738" max="7738" width="0.8984375" style="3" customWidth="1"/>
    <col min="7739" max="7739" width="1.5" style="3" customWidth="1"/>
    <col min="7740" max="7740" width="7.09765625" style="3" customWidth="1"/>
    <col min="7741" max="7741" width="4.59765625" style="3" customWidth="1"/>
    <col min="7742" max="7742" width="16.8984375" style="3" customWidth="1"/>
    <col min="7743" max="7743" width="2" style="3" customWidth="1"/>
    <col min="7744" max="7744" width="5.59765625" style="3" customWidth="1"/>
    <col min="7745" max="7936" width="11" style="3"/>
    <col min="7937" max="7937" width="5" style="3" customWidth="1"/>
    <col min="7938" max="7938" width="9.5" style="3" customWidth="1"/>
    <col min="7939" max="7939" width="9.09765625" style="3" customWidth="1"/>
    <col min="7940" max="7940" width="5.09765625" style="3" customWidth="1"/>
    <col min="7941" max="7941" width="15.09765625" style="3" customWidth="1"/>
    <col min="7942" max="7942" width="1.3984375" style="3" customWidth="1"/>
    <col min="7943" max="7943" width="0.8984375" style="3" customWidth="1"/>
    <col min="7944" max="7944" width="2.5" style="3" customWidth="1"/>
    <col min="7945" max="7945" width="6.59765625" style="3" customWidth="1"/>
    <col min="7946" max="7946" width="6.5" style="3" customWidth="1"/>
    <col min="7947" max="7947" width="2.5" style="3" customWidth="1"/>
    <col min="7948" max="7948" width="6.09765625" style="3" customWidth="1"/>
    <col min="7949" max="7949" width="1" style="3" customWidth="1"/>
    <col min="7950" max="7950" width="6.09765625" style="3" customWidth="1"/>
    <col min="7951" max="7951" width="1.5" style="3" customWidth="1"/>
    <col min="7952" max="7952" width="0.8984375" style="3" customWidth="1"/>
    <col min="7953" max="7953" width="1.5" style="3" customWidth="1"/>
    <col min="7954" max="7954" width="7.09765625" style="3" customWidth="1"/>
    <col min="7955" max="7955" width="5.3984375" style="3" customWidth="1"/>
    <col min="7956" max="7956" width="16.8984375" style="3" customWidth="1"/>
    <col min="7957" max="7957" width="2" style="3" customWidth="1"/>
    <col min="7958" max="7958" width="5.59765625" style="3" customWidth="1"/>
    <col min="7959" max="7959" width="9.5" style="3" customWidth="1"/>
    <col min="7960" max="7960" width="9.09765625" style="3" customWidth="1"/>
    <col min="7961" max="7961" width="5.09765625" style="3" customWidth="1"/>
    <col min="7962" max="7962" width="15.09765625" style="3" customWidth="1"/>
    <col min="7963" max="7963" width="1.3984375" style="3" customWidth="1"/>
    <col min="7964" max="7964" width="0.8984375" style="3" customWidth="1"/>
    <col min="7965" max="7965" width="2.5" style="3" customWidth="1"/>
    <col min="7966" max="7966" width="6.59765625" style="3" customWidth="1"/>
    <col min="7967" max="7967" width="6.5" style="3" customWidth="1"/>
    <col min="7968" max="7968" width="2.5" style="3" customWidth="1"/>
    <col min="7969" max="7969" width="6.09765625" style="3" customWidth="1"/>
    <col min="7970" max="7970" width="1" style="3" customWidth="1"/>
    <col min="7971" max="7971" width="6.09765625" style="3" customWidth="1"/>
    <col min="7972" max="7972" width="1.5" style="3" customWidth="1"/>
    <col min="7973" max="7973" width="0.8984375" style="3" customWidth="1"/>
    <col min="7974" max="7974" width="1.5" style="3" customWidth="1"/>
    <col min="7975" max="7975" width="7.09765625" style="3" customWidth="1"/>
    <col min="7976" max="7976" width="4.59765625" style="3" customWidth="1"/>
    <col min="7977" max="7977" width="16.8984375" style="3" customWidth="1"/>
    <col min="7978" max="7978" width="2" style="3" customWidth="1"/>
    <col min="7979" max="7979" width="5.59765625" style="3" customWidth="1"/>
    <col min="7980" max="7980" width="9.5" style="3" customWidth="1"/>
    <col min="7981" max="7981" width="9.09765625" style="3" customWidth="1"/>
    <col min="7982" max="7982" width="5.09765625" style="3" customWidth="1"/>
    <col min="7983" max="7983" width="15.09765625" style="3" customWidth="1"/>
    <col min="7984" max="7984" width="1.3984375" style="3" customWidth="1"/>
    <col min="7985" max="7985" width="0.8984375" style="3" customWidth="1"/>
    <col min="7986" max="7986" width="2.5" style="3" customWidth="1"/>
    <col min="7987" max="7987" width="6.59765625" style="3" customWidth="1"/>
    <col min="7988" max="7988" width="6.5" style="3" customWidth="1"/>
    <col min="7989" max="7989" width="2.5" style="3" customWidth="1"/>
    <col min="7990" max="7990" width="6.09765625" style="3" customWidth="1"/>
    <col min="7991" max="7991" width="1" style="3" customWidth="1"/>
    <col min="7992" max="7992" width="6.09765625" style="3" customWidth="1"/>
    <col min="7993" max="7993" width="1.5" style="3" customWidth="1"/>
    <col min="7994" max="7994" width="0.8984375" style="3" customWidth="1"/>
    <col min="7995" max="7995" width="1.5" style="3" customWidth="1"/>
    <col min="7996" max="7996" width="7.09765625" style="3" customWidth="1"/>
    <col min="7997" max="7997" width="4.59765625" style="3" customWidth="1"/>
    <col min="7998" max="7998" width="16.8984375" style="3" customWidth="1"/>
    <col min="7999" max="7999" width="2" style="3" customWidth="1"/>
    <col min="8000" max="8000" width="5.59765625" style="3" customWidth="1"/>
    <col min="8001" max="8192" width="11" style="3"/>
    <col min="8193" max="8193" width="5" style="3" customWidth="1"/>
    <col min="8194" max="8194" width="9.5" style="3" customWidth="1"/>
    <col min="8195" max="8195" width="9.09765625" style="3" customWidth="1"/>
    <col min="8196" max="8196" width="5.09765625" style="3" customWidth="1"/>
    <col min="8197" max="8197" width="15.09765625" style="3" customWidth="1"/>
    <col min="8198" max="8198" width="1.3984375" style="3" customWidth="1"/>
    <col min="8199" max="8199" width="0.8984375" style="3" customWidth="1"/>
    <col min="8200" max="8200" width="2.5" style="3" customWidth="1"/>
    <col min="8201" max="8201" width="6.59765625" style="3" customWidth="1"/>
    <col min="8202" max="8202" width="6.5" style="3" customWidth="1"/>
    <col min="8203" max="8203" width="2.5" style="3" customWidth="1"/>
    <col min="8204" max="8204" width="6.09765625" style="3" customWidth="1"/>
    <col min="8205" max="8205" width="1" style="3" customWidth="1"/>
    <col min="8206" max="8206" width="6.09765625" style="3" customWidth="1"/>
    <col min="8207" max="8207" width="1.5" style="3" customWidth="1"/>
    <col min="8208" max="8208" width="0.8984375" style="3" customWidth="1"/>
    <col min="8209" max="8209" width="1.5" style="3" customWidth="1"/>
    <col min="8210" max="8210" width="7.09765625" style="3" customWidth="1"/>
    <col min="8211" max="8211" width="5.3984375" style="3" customWidth="1"/>
    <col min="8212" max="8212" width="16.8984375" style="3" customWidth="1"/>
    <col min="8213" max="8213" width="2" style="3" customWidth="1"/>
    <col min="8214" max="8214" width="5.59765625" style="3" customWidth="1"/>
    <col min="8215" max="8215" width="9.5" style="3" customWidth="1"/>
    <col min="8216" max="8216" width="9.09765625" style="3" customWidth="1"/>
    <col min="8217" max="8217" width="5.09765625" style="3" customWidth="1"/>
    <col min="8218" max="8218" width="15.09765625" style="3" customWidth="1"/>
    <col min="8219" max="8219" width="1.3984375" style="3" customWidth="1"/>
    <col min="8220" max="8220" width="0.8984375" style="3" customWidth="1"/>
    <col min="8221" max="8221" width="2.5" style="3" customWidth="1"/>
    <col min="8222" max="8222" width="6.59765625" style="3" customWidth="1"/>
    <col min="8223" max="8223" width="6.5" style="3" customWidth="1"/>
    <col min="8224" max="8224" width="2.5" style="3" customWidth="1"/>
    <col min="8225" max="8225" width="6.09765625" style="3" customWidth="1"/>
    <col min="8226" max="8226" width="1" style="3" customWidth="1"/>
    <col min="8227" max="8227" width="6.09765625" style="3" customWidth="1"/>
    <col min="8228" max="8228" width="1.5" style="3" customWidth="1"/>
    <col min="8229" max="8229" width="0.8984375" style="3" customWidth="1"/>
    <col min="8230" max="8230" width="1.5" style="3" customWidth="1"/>
    <col min="8231" max="8231" width="7.09765625" style="3" customWidth="1"/>
    <col min="8232" max="8232" width="4.59765625" style="3" customWidth="1"/>
    <col min="8233" max="8233" width="16.8984375" style="3" customWidth="1"/>
    <col min="8234" max="8234" width="2" style="3" customWidth="1"/>
    <col min="8235" max="8235" width="5.59765625" style="3" customWidth="1"/>
    <col min="8236" max="8236" width="9.5" style="3" customWidth="1"/>
    <col min="8237" max="8237" width="9.09765625" style="3" customWidth="1"/>
    <col min="8238" max="8238" width="5.09765625" style="3" customWidth="1"/>
    <col min="8239" max="8239" width="15.09765625" style="3" customWidth="1"/>
    <col min="8240" max="8240" width="1.3984375" style="3" customWidth="1"/>
    <col min="8241" max="8241" width="0.8984375" style="3" customWidth="1"/>
    <col min="8242" max="8242" width="2.5" style="3" customWidth="1"/>
    <col min="8243" max="8243" width="6.59765625" style="3" customWidth="1"/>
    <col min="8244" max="8244" width="6.5" style="3" customWidth="1"/>
    <col min="8245" max="8245" width="2.5" style="3" customWidth="1"/>
    <col min="8246" max="8246" width="6.09765625" style="3" customWidth="1"/>
    <col min="8247" max="8247" width="1" style="3" customWidth="1"/>
    <col min="8248" max="8248" width="6.09765625" style="3" customWidth="1"/>
    <col min="8249" max="8249" width="1.5" style="3" customWidth="1"/>
    <col min="8250" max="8250" width="0.8984375" style="3" customWidth="1"/>
    <col min="8251" max="8251" width="1.5" style="3" customWidth="1"/>
    <col min="8252" max="8252" width="7.09765625" style="3" customWidth="1"/>
    <col min="8253" max="8253" width="4.59765625" style="3" customWidth="1"/>
    <col min="8254" max="8254" width="16.8984375" style="3" customWidth="1"/>
    <col min="8255" max="8255" width="2" style="3" customWidth="1"/>
    <col min="8256" max="8256" width="5.59765625" style="3" customWidth="1"/>
    <col min="8257" max="8448" width="11" style="3"/>
    <col min="8449" max="8449" width="5" style="3" customWidth="1"/>
    <col min="8450" max="8450" width="9.5" style="3" customWidth="1"/>
    <col min="8451" max="8451" width="9.09765625" style="3" customWidth="1"/>
    <col min="8452" max="8452" width="5.09765625" style="3" customWidth="1"/>
    <col min="8453" max="8453" width="15.09765625" style="3" customWidth="1"/>
    <col min="8454" max="8454" width="1.3984375" style="3" customWidth="1"/>
    <col min="8455" max="8455" width="0.8984375" style="3" customWidth="1"/>
    <col min="8456" max="8456" width="2.5" style="3" customWidth="1"/>
    <col min="8457" max="8457" width="6.59765625" style="3" customWidth="1"/>
    <col min="8458" max="8458" width="6.5" style="3" customWidth="1"/>
    <col min="8459" max="8459" width="2.5" style="3" customWidth="1"/>
    <col min="8460" max="8460" width="6.09765625" style="3" customWidth="1"/>
    <col min="8461" max="8461" width="1" style="3" customWidth="1"/>
    <col min="8462" max="8462" width="6.09765625" style="3" customWidth="1"/>
    <col min="8463" max="8463" width="1.5" style="3" customWidth="1"/>
    <col min="8464" max="8464" width="0.8984375" style="3" customWidth="1"/>
    <col min="8465" max="8465" width="1.5" style="3" customWidth="1"/>
    <col min="8466" max="8466" width="7.09765625" style="3" customWidth="1"/>
    <col min="8467" max="8467" width="5.3984375" style="3" customWidth="1"/>
    <col min="8468" max="8468" width="16.8984375" style="3" customWidth="1"/>
    <col min="8469" max="8469" width="2" style="3" customWidth="1"/>
    <col min="8470" max="8470" width="5.59765625" style="3" customWidth="1"/>
    <col min="8471" max="8471" width="9.5" style="3" customWidth="1"/>
    <col min="8472" max="8472" width="9.09765625" style="3" customWidth="1"/>
    <col min="8473" max="8473" width="5.09765625" style="3" customWidth="1"/>
    <col min="8474" max="8474" width="15.09765625" style="3" customWidth="1"/>
    <col min="8475" max="8475" width="1.3984375" style="3" customWidth="1"/>
    <col min="8476" max="8476" width="0.8984375" style="3" customWidth="1"/>
    <col min="8477" max="8477" width="2.5" style="3" customWidth="1"/>
    <col min="8478" max="8478" width="6.59765625" style="3" customWidth="1"/>
    <col min="8479" max="8479" width="6.5" style="3" customWidth="1"/>
    <col min="8480" max="8480" width="2.5" style="3" customWidth="1"/>
    <col min="8481" max="8481" width="6.09765625" style="3" customWidth="1"/>
    <col min="8482" max="8482" width="1" style="3" customWidth="1"/>
    <col min="8483" max="8483" width="6.09765625" style="3" customWidth="1"/>
    <col min="8484" max="8484" width="1.5" style="3" customWidth="1"/>
    <col min="8485" max="8485" width="0.8984375" style="3" customWidth="1"/>
    <col min="8486" max="8486" width="1.5" style="3" customWidth="1"/>
    <col min="8487" max="8487" width="7.09765625" style="3" customWidth="1"/>
    <col min="8488" max="8488" width="4.59765625" style="3" customWidth="1"/>
    <col min="8489" max="8489" width="16.8984375" style="3" customWidth="1"/>
    <col min="8490" max="8490" width="2" style="3" customWidth="1"/>
    <col min="8491" max="8491" width="5.59765625" style="3" customWidth="1"/>
    <col min="8492" max="8492" width="9.5" style="3" customWidth="1"/>
    <col min="8493" max="8493" width="9.09765625" style="3" customWidth="1"/>
    <col min="8494" max="8494" width="5.09765625" style="3" customWidth="1"/>
    <col min="8495" max="8495" width="15.09765625" style="3" customWidth="1"/>
    <col min="8496" max="8496" width="1.3984375" style="3" customWidth="1"/>
    <col min="8497" max="8497" width="0.8984375" style="3" customWidth="1"/>
    <col min="8498" max="8498" width="2.5" style="3" customWidth="1"/>
    <col min="8499" max="8499" width="6.59765625" style="3" customWidth="1"/>
    <col min="8500" max="8500" width="6.5" style="3" customWidth="1"/>
    <col min="8501" max="8501" width="2.5" style="3" customWidth="1"/>
    <col min="8502" max="8502" width="6.09765625" style="3" customWidth="1"/>
    <col min="8503" max="8503" width="1" style="3" customWidth="1"/>
    <col min="8504" max="8504" width="6.09765625" style="3" customWidth="1"/>
    <col min="8505" max="8505" width="1.5" style="3" customWidth="1"/>
    <col min="8506" max="8506" width="0.8984375" style="3" customWidth="1"/>
    <col min="8507" max="8507" width="1.5" style="3" customWidth="1"/>
    <col min="8508" max="8508" width="7.09765625" style="3" customWidth="1"/>
    <col min="8509" max="8509" width="4.59765625" style="3" customWidth="1"/>
    <col min="8510" max="8510" width="16.8984375" style="3" customWidth="1"/>
    <col min="8511" max="8511" width="2" style="3" customWidth="1"/>
    <col min="8512" max="8512" width="5.59765625" style="3" customWidth="1"/>
    <col min="8513" max="8704" width="11" style="3"/>
    <col min="8705" max="8705" width="5" style="3" customWidth="1"/>
    <col min="8706" max="8706" width="9.5" style="3" customWidth="1"/>
    <col min="8707" max="8707" width="9.09765625" style="3" customWidth="1"/>
    <col min="8708" max="8708" width="5.09765625" style="3" customWidth="1"/>
    <col min="8709" max="8709" width="15.09765625" style="3" customWidth="1"/>
    <col min="8710" max="8710" width="1.3984375" style="3" customWidth="1"/>
    <col min="8711" max="8711" width="0.8984375" style="3" customWidth="1"/>
    <col min="8712" max="8712" width="2.5" style="3" customWidth="1"/>
    <col min="8713" max="8713" width="6.59765625" style="3" customWidth="1"/>
    <col min="8714" max="8714" width="6.5" style="3" customWidth="1"/>
    <col min="8715" max="8715" width="2.5" style="3" customWidth="1"/>
    <col min="8716" max="8716" width="6.09765625" style="3" customWidth="1"/>
    <col min="8717" max="8717" width="1" style="3" customWidth="1"/>
    <col min="8718" max="8718" width="6.09765625" style="3" customWidth="1"/>
    <col min="8719" max="8719" width="1.5" style="3" customWidth="1"/>
    <col min="8720" max="8720" width="0.8984375" style="3" customWidth="1"/>
    <col min="8721" max="8721" width="1.5" style="3" customWidth="1"/>
    <col min="8722" max="8722" width="7.09765625" style="3" customWidth="1"/>
    <col min="8723" max="8723" width="5.3984375" style="3" customWidth="1"/>
    <col min="8724" max="8724" width="16.8984375" style="3" customWidth="1"/>
    <col min="8725" max="8725" width="2" style="3" customWidth="1"/>
    <col min="8726" max="8726" width="5.59765625" style="3" customWidth="1"/>
    <col min="8727" max="8727" width="9.5" style="3" customWidth="1"/>
    <col min="8728" max="8728" width="9.09765625" style="3" customWidth="1"/>
    <col min="8729" max="8729" width="5.09765625" style="3" customWidth="1"/>
    <col min="8730" max="8730" width="15.09765625" style="3" customWidth="1"/>
    <col min="8731" max="8731" width="1.3984375" style="3" customWidth="1"/>
    <col min="8732" max="8732" width="0.8984375" style="3" customWidth="1"/>
    <col min="8733" max="8733" width="2.5" style="3" customWidth="1"/>
    <col min="8734" max="8734" width="6.59765625" style="3" customWidth="1"/>
    <col min="8735" max="8735" width="6.5" style="3" customWidth="1"/>
    <col min="8736" max="8736" width="2.5" style="3" customWidth="1"/>
    <col min="8737" max="8737" width="6.09765625" style="3" customWidth="1"/>
    <col min="8738" max="8738" width="1" style="3" customWidth="1"/>
    <col min="8739" max="8739" width="6.09765625" style="3" customWidth="1"/>
    <col min="8740" max="8740" width="1.5" style="3" customWidth="1"/>
    <col min="8741" max="8741" width="0.8984375" style="3" customWidth="1"/>
    <col min="8742" max="8742" width="1.5" style="3" customWidth="1"/>
    <col min="8743" max="8743" width="7.09765625" style="3" customWidth="1"/>
    <col min="8744" max="8744" width="4.59765625" style="3" customWidth="1"/>
    <col min="8745" max="8745" width="16.8984375" style="3" customWidth="1"/>
    <col min="8746" max="8746" width="2" style="3" customWidth="1"/>
    <col min="8747" max="8747" width="5.59765625" style="3" customWidth="1"/>
    <col min="8748" max="8748" width="9.5" style="3" customWidth="1"/>
    <col min="8749" max="8749" width="9.09765625" style="3" customWidth="1"/>
    <col min="8750" max="8750" width="5.09765625" style="3" customWidth="1"/>
    <col min="8751" max="8751" width="15.09765625" style="3" customWidth="1"/>
    <col min="8752" max="8752" width="1.3984375" style="3" customWidth="1"/>
    <col min="8753" max="8753" width="0.8984375" style="3" customWidth="1"/>
    <col min="8754" max="8754" width="2.5" style="3" customWidth="1"/>
    <col min="8755" max="8755" width="6.59765625" style="3" customWidth="1"/>
    <col min="8756" max="8756" width="6.5" style="3" customWidth="1"/>
    <col min="8757" max="8757" width="2.5" style="3" customWidth="1"/>
    <col min="8758" max="8758" width="6.09765625" style="3" customWidth="1"/>
    <col min="8759" max="8759" width="1" style="3" customWidth="1"/>
    <col min="8760" max="8760" width="6.09765625" style="3" customWidth="1"/>
    <col min="8761" max="8761" width="1.5" style="3" customWidth="1"/>
    <col min="8762" max="8762" width="0.8984375" style="3" customWidth="1"/>
    <col min="8763" max="8763" width="1.5" style="3" customWidth="1"/>
    <col min="8764" max="8764" width="7.09765625" style="3" customWidth="1"/>
    <col min="8765" max="8765" width="4.59765625" style="3" customWidth="1"/>
    <col min="8766" max="8766" width="16.8984375" style="3" customWidth="1"/>
    <col min="8767" max="8767" width="2" style="3" customWidth="1"/>
    <col min="8768" max="8768" width="5.59765625" style="3" customWidth="1"/>
    <col min="8769" max="8960" width="11" style="3"/>
    <col min="8961" max="8961" width="5" style="3" customWidth="1"/>
    <col min="8962" max="8962" width="9.5" style="3" customWidth="1"/>
    <col min="8963" max="8963" width="9.09765625" style="3" customWidth="1"/>
    <col min="8964" max="8964" width="5.09765625" style="3" customWidth="1"/>
    <col min="8965" max="8965" width="15.09765625" style="3" customWidth="1"/>
    <col min="8966" max="8966" width="1.3984375" style="3" customWidth="1"/>
    <col min="8967" max="8967" width="0.8984375" style="3" customWidth="1"/>
    <col min="8968" max="8968" width="2.5" style="3" customWidth="1"/>
    <col min="8969" max="8969" width="6.59765625" style="3" customWidth="1"/>
    <col min="8970" max="8970" width="6.5" style="3" customWidth="1"/>
    <col min="8971" max="8971" width="2.5" style="3" customWidth="1"/>
    <col min="8972" max="8972" width="6.09765625" style="3" customWidth="1"/>
    <col min="8973" max="8973" width="1" style="3" customWidth="1"/>
    <col min="8974" max="8974" width="6.09765625" style="3" customWidth="1"/>
    <col min="8975" max="8975" width="1.5" style="3" customWidth="1"/>
    <col min="8976" max="8976" width="0.8984375" style="3" customWidth="1"/>
    <col min="8977" max="8977" width="1.5" style="3" customWidth="1"/>
    <col min="8978" max="8978" width="7.09765625" style="3" customWidth="1"/>
    <col min="8979" max="8979" width="5.3984375" style="3" customWidth="1"/>
    <col min="8980" max="8980" width="16.8984375" style="3" customWidth="1"/>
    <col min="8981" max="8981" width="2" style="3" customWidth="1"/>
    <col min="8982" max="8982" width="5.59765625" style="3" customWidth="1"/>
    <col min="8983" max="8983" width="9.5" style="3" customWidth="1"/>
    <col min="8984" max="8984" width="9.09765625" style="3" customWidth="1"/>
    <col min="8985" max="8985" width="5.09765625" style="3" customWidth="1"/>
    <col min="8986" max="8986" width="15.09765625" style="3" customWidth="1"/>
    <col min="8987" max="8987" width="1.3984375" style="3" customWidth="1"/>
    <col min="8988" max="8988" width="0.8984375" style="3" customWidth="1"/>
    <col min="8989" max="8989" width="2.5" style="3" customWidth="1"/>
    <col min="8990" max="8990" width="6.59765625" style="3" customWidth="1"/>
    <col min="8991" max="8991" width="6.5" style="3" customWidth="1"/>
    <col min="8992" max="8992" width="2.5" style="3" customWidth="1"/>
    <col min="8993" max="8993" width="6.09765625" style="3" customWidth="1"/>
    <col min="8994" max="8994" width="1" style="3" customWidth="1"/>
    <col min="8995" max="8995" width="6.09765625" style="3" customWidth="1"/>
    <col min="8996" max="8996" width="1.5" style="3" customWidth="1"/>
    <col min="8997" max="8997" width="0.8984375" style="3" customWidth="1"/>
    <col min="8998" max="8998" width="1.5" style="3" customWidth="1"/>
    <col min="8999" max="8999" width="7.09765625" style="3" customWidth="1"/>
    <col min="9000" max="9000" width="4.59765625" style="3" customWidth="1"/>
    <col min="9001" max="9001" width="16.8984375" style="3" customWidth="1"/>
    <col min="9002" max="9002" width="2" style="3" customWidth="1"/>
    <col min="9003" max="9003" width="5.59765625" style="3" customWidth="1"/>
    <col min="9004" max="9004" width="9.5" style="3" customWidth="1"/>
    <col min="9005" max="9005" width="9.09765625" style="3" customWidth="1"/>
    <col min="9006" max="9006" width="5.09765625" style="3" customWidth="1"/>
    <col min="9007" max="9007" width="15.09765625" style="3" customWidth="1"/>
    <col min="9008" max="9008" width="1.3984375" style="3" customWidth="1"/>
    <col min="9009" max="9009" width="0.8984375" style="3" customWidth="1"/>
    <col min="9010" max="9010" width="2.5" style="3" customWidth="1"/>
    <col min="9011" max="9011" width="6.59765625" style="3" customWidth="1"/>
    <col min="9012" max="9012" width="6.5" style="3" customWidth="1"/>
    <col min="9013" max="9013" width="2.5" style="3" customWidth="1"/>
    <col min="9014" max="9014" width="6.09765625" style="3" customWidth="1"/>
    <col min="9015" max="9015" width="1" style="3" customWidth="1"/>
    <col min="9016" max="9016" width="6.09765625" style="3" customWidth="1"/>
    <col min="9017" max="9017" width="1.5" style="3" customWidth="1"/>
    <col min="9018" max="9018" width="0.8984375" style="3" customWidth="1"/>
    <col min="9019" max="9019" width="1.5" style="3" customWidth="1"/>
    <col min="9020" max="9020" width="7.09765625" style="3" customWidth="1"/>
    <col min="9021" max="9021" width="4.59765625" style="3" customWidth="1"/>
    <col min="9022" max="9022" width="16.8984375" style="3" customWidth="1"/>
    <col min="9023" max="9023" width="2" style="3" customWidth="1"/>
    <col min="9024" max="9024" width="5.59765625" style="3" customWidth="1"/>
    <col min="9025" max="9216" width="11" style="3"/>
    <col min="9217" max="9217" width="5" style="3" customWidth="1"/>
    <col min="9218" max="9218" width="9.5" style="3" customWidth="1"/>
    <col min="9219" max="9219" width="9.09765625" style="3" customWidth="1"/>
    <col min="9220" max="9220" width="5.09765625" style="3" customWidth="1"/>
    <col min="9221" max="9221" width="15.09765625" style="3" customWidth="1"/>
    <col min="9222" max="9222" width="1.3984375" style="3" customWidth="1"/>
    <col min="9223" max="9223" width="0.8984375" style="3" customWidth="1"/>
    <col min="9224" max="9224" width="2.5" style="3" customWidth="1"/>
    <col min="9225" max="9225" width="6.59765625" style="3" customWidth="1"/>
    <col min="9226" max="9226" width="6.5" style="3" customWidth="1"/>
    <col min="9227" max="9227" width="2.5" style="3" customWidth="1"/>
    <col min="9228" max="9228" width="6.09765625" style="3" customWidth="1"/>
    <col min="9229" max="9229" width="1" style="3" customWidth="1"/>
    <col min="9230" max="9230" width="6.09765625" style="3" customWidth="1"/>
    <col min="9231" max="9231" width="1.5" style="3" customWidth="1"/>
    <col min="9232" max="9232" width="0.8984375" style="3" customWidth="1"/>
    <col min="9233" max="9233" width="1.5" style="3" customWidth="1"/>
    <col min="9234" max="9234" width="7.09765625" style="3" customWidth="1"/>
    <col min="9235" max="9235" width="5.3984375" style="3" customWidth="1"/>
    <col min="9236" max="9236" width="16.8984375" style="3" customWidth="1"/>
    <col min="9237" max="9237" width="2" style="3" customWidth="1"/>
    <col min="9238" max="9238" width="5.59765625" style="3" customWidth="1"/>
    <col min="9239" max="9239" width="9.5" style="3" customWidth="1"/>
    <col min="9240" max="9240" width="9.09765625" style="3" customWidth="1"/>
    <col min="9241" max="9241" width="5.09765625" style="3" customWidth="1"/>
    <col min="9242" max="9242" width="15.09765625" style="3" customWidth="1"/>
    <col min="9243" max="9243" width="1.3984375" style="3" customWidth="1"/>
    <col min="9244" max="9244" width="0.8984375" style="3" customWidth="1"/>
    <col min="9245" max="9245" width="2.5" style="3" customWidth="1"/>
    <col min="9246" max="9246" width="6.59765625" style="3" customWidth="1"/>
    <col min="9247" max="9247" width="6.5" style="3" customWidth="1"/>
    <col min="9248" max="9248" width="2.5" style="3" customWidth="1"/>
    <col min="9249" max="9249" width="6.09765625" style="3" customWidth="1"/>
    <col min="9250" max="9250" width="1" style="3" customWidth="1"/>
    <col min="9251" max="9251" width="6.09765625" style="3" customWidth="1"/>
    <col min="9252" max="9252" width="1.5" style="3" customWidth="1"/>
    <col min="9253" max="9253" width="0.8984375" style="3" customWidth="1"/>
    <col min="9254" max="9254" width="1.5" style="3" customWidth="1"/>
    <col min="9255" max="9255" width="7.09765625" style="3" customWidth="1"/>
    <col min="9256" max="9256" width="4.59765625" style="3" customWidth="1"/>
    <col min="9257" max="9257" width="16.8984375" style="3" customWidth="1"/>
    <col min="9258" max="9258" width="2" style="3" customWidth="1"/>
    <col min="9259" max="9259" width="5.59765625" style="3" customWidth="1"/>
    <col min="9260" max="9260" width="9.5" style="3" customWidth="1"/>
    <col min="9261" max="9261" width="9.09765625" style="3" customWidth="1"/>
    <col min="9262" max="9262" width="5.09765625" style="3" customWidth="1"/>
    <col min="9263" max="9263" width="15.09765625" style="3" customWidth="1"/>
    <col min="9264" max="9264" width="1.3984375" style="3" customWidth="1"/>
    <col min="9265" max="9265" width="0.8984375" style="3" customWidth="1"/>
    <col min="9266" max="9266" width="2.5" style="3" customWidth="1"/>
    <col min="9267" max="9267" width="6.59765625" style="3" customWidth="1"/>
    <col min="9268" max="9268" width="6.5" style="3" customWidth="1"/>
    <col min="9269" max="9269" width="2.5" style="3" customWidth="1"/>
    <col min="9270" max="9270" width="6.09765625" style="3" customWidth="1"/>
    <col min="9271" max="9271" width="1" style="3" customWidth="1"/>
    <col min="9272" max="9272" width="6.09765625" style="3" customWidth="1"/>
    <col min="9273" max="9273" width="1.5" style="3" customWidth="1"/>
    <col min="9274" max="9274" width="0.8984375" style="3" customWidth="1"/>
    <col min="9275" max="9275" width="1.5" style="3" customWidth="1"/>
    <col min="9276" max="9276" width="7.09765625" style="3" customWidth="1"/>
    <col min="9277" max="9277" width="4.59765625" style="3" customWidth="1"/>
    <col min="9278" max="9278" width="16.8984375" style="3" customWidth="1"/>
    <col min="9279" max="9279" width="2" style="3" customWidth="1"/>
    <col min="9280" max="9280" width="5.59765625" style="3" customWidth="1"/>
    <col min="9281" max="9472" width="11" style="3"/>
    <col min="9473" max="9473" width="5" style="3" customWidth="1"/>
    <col min="9474" max="9474" width="9.5" style="3" customWidth="1"/>
    <col min="9475" max="9475" width="9.09765625" style="3" customWidth="1"/>
    <col min="9476" max="9476" width="5.09765625" style="3" customWidth="1"/>
    <col min="9477" max="9477" width="15.09765625" style="3" customWidth="1"/>
    <col min="9478" max="9478" width="1.3984375" style="3" customWidth="1"/>
    <col min="9479" max="9479" width="0.8984375" style="3" customWidth="1"/>
    <col min="9480" max="9480" width="2.5" style="3" customWidth="1"/>
    <col min="9481" max="9481" width="6.59765625" style="3" customWidth="1"/>
    <col min="9482" max="9482" width="6.5" style="3" customWidth="1"/>
    <col min="9483" max="9483" width="2.5" style="3" customWidth="1"/>
    <col min="9484" max="9484" width="6.09765625" style="3" customWidth="1"/>
    <col min="9485" max="9485" width="1" style="3" customWidth="1"/>
    <col min="9486" max="9486" width="6.09765625" style="3" customWidth="1"/>
    <col min="9487" max="9487" width="1.5" style="3" customWidth="1"/>
    <col min="9488" max="9488" width="0.8984375" style="3" customWidth="1"/>
    <col min="9489" max="9489" width="1.5" style="3" customWidth="1"/>
    <col min="9490" max="9490" width="7.09765625" style="3" customWidth="1"/>
    <col min="9491" max="9491" width="5.3984375" style="3" customWidth="1"/>
    <col min="9492" max="9492" width="16.8984375" style="3" customWidth="1"/>
    <col min="9493" max="9493" width="2" style="3" customWidth="1"/>
    <col min="9494" max="9494" width="5.59765625" style="3" customWidth="1"/>
    <col min="9495" max="9495" width="9.5" style="3" customWidth="1"/>
    <col min="9496" max="9496" width="9.09765625" style="3" customWidth="1"/>
    <col min="9497" max="9497" width="5.09765625" style="3" customWidth="1"/>
    <col min="9498" max="9498" width="15.09765625" style="3" customWidth="1"/>
    <col min="9499" max="9499" width="1.3984375" style="3" customWidth="1"/>
    <col min="9500" max="9500" width="0.8984375" style="3" customWidth="1"/>
    <col min="9501" max="9501" width="2.5" style="3" customWidth="1"/>
    <col min="9502" max="9502" width="6.59765625" style="3" customWidth="1"/>
    <col min="9503" max="9503" width="6.5" style="3" customWidth="1"/>
    <col min="9504" max="9504" width="2.5" style="3" customWidth="1"/>
    <col min="9505" max="9505" width="6.09765625" style="3" customWidth="1"/>
    <col min="9506" max="9506" width="1" style="3" customWidth="1"/>
    <col min="9507" max="9507" width="6.09765625" style="3" customWidth="1"/>
    <col min="9508" max="9508" width="1.5" style="3" customWidth="1"/>
    <col min="9509" max="9509" width="0.8984375" style="3" customWidth="1"/>
    <col min="9510" max="9510" width="1.5" style="3" customWidth="1"/>
    <col min="9511" max="9511" width="7.09765625" style="3" customWidth="1"/>
    <col min="9512" max="9512" width="4.59765625" style="3" customWidth="1"/>
    <col min="9513" max="9513" width="16.8984375" style="3" customWidth="1"/>
    <col min="9514" max="9514" width="2" style="3" customWidth="1"/>
    <col min="9515" max="9515" width="5.59765625" style="3" customWidth="1"/>
    <col min="9516" max="9516" width="9.5" style="3" customWidth="1"/>
    <col min="9517" max="9517" width="9.09765625" style="3" customWidth="1"/>
    <col min="9518" max="9518" width="5.09765625" style="3" customWidth="1"/>
    <col min="9519" max="9519" width="15.09765625" style="3" customWidth="1"/>
    <col min="9520" max="9520" width="1.3984375" style="3" customWidth="1"/>
    <col min="9521" max="9521" width="0.8984375" style="3" customWidth="1"/>
    <col min="9522" max="9522" width="2.5" style="3" customWidth="1"/>
    <col min="9523" max="9523" width="6.59765625" style="3" customWidth="1"/>
    <col min="9524" max="9524" width="6.5" style="3" customWidth="1"/>
    <col min="9525" max="9525" width="2.5" style="3" customWidth="1"/>
    <col min="9526" max="9526" width="6.09765625" style="3" customWidth="1"/>
    <col min="9527" max="9527" width="1" style="3" customWidth="1"/>
    <col min="9528" max="9528" width="6.09765625" style="3" customWidth="1"/>
    <col min="9529" max="9529" width="1.5" style="3" customWidth="1"/>
    <col min="9530" max="9530" width="0.8984375" style="3" customWidth="1"/>
    <col min="9531" max="9531" width="1.5" style="3" customWidth="1"/>
    <col min="9532" max="9532" width="7.09765625" style="3" customWidth="1"/>
    <col min="9533" max="9533" width="4.59765625" style="3" customWidth="1"/>
    <col min="9534" max="9534" width="16.8984375" style="3" customWidth="1"/>
    <col min="9535" max="9535" width="2" style="3" customWidth="1"/>
    <col min="9536" max="9536" width="5.59765625" style="3" customWidth="1"/>
    <col min="9537" max="9728" width="11" style="3"/>
    <col min="9729" max="9729" width="5" style="3" customWidth="1"/>
    <col min="9730" max="9730" width="9.5" style="3" customWidth="1"/>
    <col min="9731" max="9731" width="9.09765625" style="3" customWidth="1"/>
    <col min="9732" max="9732" width="5.09765625" style="3" customWidth="1"/>
    <col min="9733" max="9733" width="15.09765625" style="3" customWidth="1"/>
    <col min="9734" max="9734" width="1.3984375" style="3" customWidth="1"/>
    <col min="9735" max="9735" width="0.8984375" style="3" customWidth="1"/>
    <col min="9736" max="9736" width="2.5" style="3" customWidth="1"/>
    <col min="9737" max="9737" width="6.59765625" style="3" customWidth="1"/>
    <col min="9738" max="9738" width="6.5" style="3" customWidth="1"/>
    <col min="9739" max="9739" width="2.5" style="3" customWidth="1"/>
    <col min="9740" max="9740" width="6.09765625" style="3" customWidth="1"/>
    <col min="9741" max="9741" width="1" style="3" customWidth="1"/>
    <col min="9742" max="9742" width="6.09765625" style="3" customWidth="1"/>
    <col min="9743" max="9743" width="1.5" style="3" customWidth="1"/>
    <col min="9744" max="9744" width="0.8984375" style="3" customWidth="1"/>
    <col min="9745" max="9745" width="1.5" style="3" customWidth="1"/>
    <col min="9746" max="9746" width="7.09765625" style="3" customWidth="1"/>
    <col min="9747" max="9747" width="5.3984375" style="3" customWidth="1"/>
    <col min="9748" max="9748" width="16.8984375" style="3" customWidth="1"/>
    <col min="9749" max="9749" width="2" style="3" customWidth="1"/>
    <col min="9750" max="9750" width="5.59765625" style="3" customWidth="1"/>
    <col min="9751" max="9751" width="9.5" style="3" customWidth="1"/>
    <col min="9752" max="9752" width="9.09765625" style="3" customWidth="1"/>
    <col min="9753" max="9753" width="5.09765625" style="3" customWidth="1"/>
    <col min="9754" max="9754" width="15.09765625" style="3" customWidth="1"/>
    <col min="9755" max="9755" width="1.3984375" style="3" customWidth="1"/>
    <col min="9756" max="9756" width="0.8984375" style="3" customWidth="1"/>
    <col min="9757" max="9757" width="2.5" style="3" customWidth="1"/>
    <col min="9758" max="9758" width="6.59765625" style="3" customWidth="1"/>
    <col min="9759" max="9759" width="6.5" style="3" customWidth="1"/>
    <col min="9760" max="9760" width="2.5" style="3" customWidth="1"/>
    <col min="9761" max="9761" width="6.09765625" style="3" customWidth="1"/>
    <col min="9762" max="9762" width="1" style="3" customWidth="1"/>
    <col min="9763" max="9763" width="6.09765625" style="3" customWidth="1"/>
    <col min="9764" max="9764" width="1.5" style="3" customWidth="1"/>
    <col min="9765" max="9765" width="0.8984375" style="3" customWidth="1"/>
    <col min="9766" max="9766" width="1.5" style="3" customWidth="1"/>
    <col min="9767" max="9767" width="7.09765625" style="3" customWidth="1"/>
    <col min="9768" max="9768" width="4.59765625" style="3" customWidth="1"/>
    <col min="9769" max="9769" width="16.8984375" style="3" customWidth="1"/>
    <col min="9770" max="9770" width="2" style="3" customWidth="1"/>
    <col min="9771" max="9771" width="5.59765625" style="3" customWidth="1"/>
    <col min="9772" max="9772" width="9.5" style="3" customWidth="1"/>
    <col min="9773" max="9773" width="9.09765625" style="3" customWidth="1"/>
    <col min="9774" max="9774" width="5.09765625" style="3" customWidth="1"/>
    <col min="9775" max="9775" width="15.09765625" style="3" customWidth="1"/>
    <col min="9776" max="9776" width="1.3984375" style="3" customWidth="1"/>
    <col min="9777" max="9777" width="0.8984375" style="3" customWidth="1"/>
    <col min="9778" max="9778" width="2.5" style="3" customWidth="1"/>
    <col min="9779" max="9779" width="6.59765625" style="3" customWidth="1"/>
    <col min="9780" max="9780" width="6.5" style="3" customWidth="1"/>
    <col min="9781" max="9781" width="2.5" style="3" customWidth="1"/>
    <col min="9782" max="9782" width="6.09765625" style="3" customWidth="1"/>
    <col min="9783" max="9783" width="1" style="3" customWidth="1"/>
    <col min="9784" max="9784" width="6.09765625" style="3" customWidth="1"/>
    <col min="9785" max="9785" width="1.5" style="3" customWidth="1"/>
    <col min="9786" max="9786" width="0.8984375" style="3" customWidth="1"/>
    <col min="9787" max="9787" width="1.5" style="3" customWidth="1"/>
    <col min="9788" max="9788" width="7.09765625" style="3" customWidth="1"/>
    <col min="9789" max="9789" width="4.59765625" style="3" customWidth="1"/>
    <col min="9790" max="9790" width="16.8984375" style="3" customWidth="1"/>
    <col min="9791" max="9791" width="2" style="3" customWidth="1"/>
    <col min="9792" max="9792" width="5.59765625" style="3" customWidth="1"/>
    <col min="9793" max="9984" width="11" style="3"/>
    <col min="9985" max="9985" width="5" style="3" customWidth="1"/>
    <col min="9986" max="9986" width="9.5" style="3" customWidth="1"/>
    <col min="9987" max="9987" width="9.09765625" style="3" customWidth="1"/>
    <col min="9988" max="9988" width="5.09765625" style="3" customWidth="1"/>
    <col min="9989" max="9989" width="15.09765625" style="3" customWidth="1"/>
    <col min="9990" max="9990" width="1.3984375" style="3" customWidth="1"/>
    <col min="9991" max="9991" width="0.8984375" style="3" customWidth="1"/>
    <col min="9992" max="9992" width="2.5" style="3" customWidth="1"/>
    <col min="9993" max="9993" width="6.59765625" style="3" customWidth="1"/>
    <col min="9994" max="9994" width="6.5" style="3" customWidth="1"/>
    <col min="9995" max="9995" width="2.5" style="3" customWidth="1"/>
    <col min="9996" max="9996" width="6.09765625" style="3" customWidth="1"/>
    <col min="9997" max="9997" width="1" style="3" customWidth="1"/>
    <col min="9998" max="9998" width="6.09765625" style="3" customWidth="1"/>
    <col min="9999" max="9999" width="1.5" style="3" customWidth="1"/>
    <col min="10000" max="10000" width="0.8984375" style="3" customWidth="1"/>
    <col min="10001" max="10001" width="1.5" style="3" customWidth="1"/>
    <col min="10002" max="10002" width="7.09765625" style="3" customWidth="1"/>
    <col min="10003" max="10003" width="5.3984375" style="3" customWidth="1"/>
    <col min="10004" max="10004" width="16.8984375" style="3" customWidth="1"/>
    <col min="10005" max="10005" width="2" style="3" customWidth="1"/>
    <col min="10006" max="10006" width="5.59765625" style="3" customWidth="1"/>
    <col min="10007" max="10007" width="9.5" style="3" customWidth="1"/>
    <col min="10008" max="10008" width="9.09765625" style="3" customWidth="1"/>
    <col min="10009" max="10009" width="5.09765625" style="3" customWidth="1"/>
    <col min="10010" max="10010" width="15.09765625" style="3" customWidth="1"/>
    <col min="10011" max="10011" width="1.3984375" style="3" customWidth="1"/>
    <col min="10012" max="10012" width="0.8984375" style="3" customWidth="1"/>
    <col min="10013" max="10013" width="2.5" style="3" customWidth="1"/>
    <col min="10014" max="10014" width="6.59765625" style="3" customWidth="1"/>
    <col min="10015" max="10015" width="6.5" style="3" customWidth="1"/>
    <col min="10016" max="10016" width="2.5" style="3" customWidth="1"/>
    <col min="10017" max="10017" width="6.09765625" style="3" customWidth="1"/>
    <col min="10018" max="10018" width="1" style="3" customWidth="1"/>
    <col min="10019" max="10019" width="6.09765625" style="3" customWidth="1"/>
    <col min="10020" max="10020" width="1.5" style="3" customWidth="1"/>
    <col min="10021" max="10021" width="0.8984375" style="3" customWidth="1"/>
    <col min="10022" max="10022" width="1.5" style="3" customWidth="1"/>
    <col min="10023" max="10023" width="7.09765625" style="3" customWidth="1"/>
    <col min="10024" max="10024" width="4.59765625" style="3" customWidth="1"/>
    <col min="10025" max="10025" width="16.8984375" style="3" customWidth="1"/>
    <col min="10026" max="10026" width="2" style="3" customWidth="1"/>
    <col min="10027" max="10027" width="5.59765625" style="3" customWidth="1"/>
    <col min="10028" max="10028" width="9.5" style="3" customWidth="1"/>
    <col min="10029" max="10029" width="9.09765625" style="3" customWidth="1"/>
    <col min="10030" max="10030" width="5.09765625" style="3" customWidth="1"/>
    <col min="10031" max="10031" width="15.09765625" style="3" customWidth="1"/>
    <col min="10032" max="10032" width="1.3984375" style="3" customWidth="1"/>
    <col min="10033" max="10033" width="0.8984375" style="3" customWidth="1"/>
    <col min="10034" max="10034" width="2.5" style="3" customWidth="1"/>
    <col min="10035" max="10035" width="6.59765625" style="3" customWidth="1"/>
    <col min="10036" max="10036" width="6.5" style="3" customWidth="1"/>
    <col min="10037" max="10037" width="2.5" style="3" customWidth="1"/>
    <col min="10038" max="10038" width="6.09765625" style="3" customWidth="1"/>
    <col min="10039" max="10039" width="1" style="3" customWidth="1"/>
    <col min="10040" max="10040" width="6.09765625" style="3" customWidth="1"/>
    <col min="10041" max="10041" width="1.5" style="3" customWidth="1"/>
    <col min="10042" max="10042" width="0.8984375" style="3" customWidth="1"/>
    <col min="10043" max="10043" width="1.5" style="3" customWidth="1"/>
    <col min="10044" max="10044" width="7.09765625" style="3" customWidth="1"/>
    <col min="10045" max="10045" width="4.59765625" style="3" customWidth="1"/>
    <col min="10046" max="10046" width="16.8984375" style="3" customWidth="1"/>
    <col min="10047" max="10047" width="2" style="3" customWidth="1"/>
    <col min="10048" max="10048" width="5.59765625" style="3" customWidth="1"/>
    <col min="10049" max="10240" width="11" style="3"/>
    <col min="10241" max="10241" width="5" style="3" customWidth="1"/>
    <col min="10242" max="10242" width="9.5" style="3" customWidth="1"/>
    <col min="10243" max="10243" width="9.09765625" style="3" customWidth="1"/>
    <col min="10244" max="10244" width="5.09765625" style="3" customWidth="1"/>
    <col min="10245" max="10245" width="15.09765625" style="3" customWidth="1"/>
    <col min="10246" max="10246" width="1.3984375" style="3" customWidth="1"/>
    <col min="10247" max="10247" width="0.8984375" style="3" customWidth="1"/>
    <col min="10248" max="10248" width="2.5" style="3" customWidth="1"/>
    <col min="10249" max="10249" width="6.59765625" style="3" customWidth="1"/>
    <col min="10250" max="10250" width="6.5" style="3" customWidth="1"/>
    <col min="10251" max="10251" width="2.5" style="3" customWidth="1"/>
    <col min="10252" max="10252" width="6.09765625" style="3" customWidth="1"/>
    <col min="10253" max="10253" width="1" style="3" customWidth="1"/>
    <col min="10254" max="10254" width="6.09765625" style="3" customWidth="1"/>
    <col min="10255" max="10255" width="1.5" style="3" customWidth="1"/>
    <col min="10256" max="10256" width="0.8984375" style="3" customWidth="1"/>
    <col min="10257" max="10257" width="1.5" style="3" customWidth="1"/>
    <col min="10258" max="10258" width="7.09765625" style="3" customWidth="1"/>
    <col min="10259" max="10259" width="5.3984375" style="3" customWidth="1"/>
    <col min="10260" max="10260" width="16.8984375" style="3" customWidth="1"/>
    <col min="10261" max="10261" width="2" style="3" customWidth="1"/>
    <col min="10262" max="10262" width="5.59765625" style="3" customWidth="1"/>
    <col min="10263" max="10263" width="9.5" style="3" customWidth="1"/>
    <col min="10264" max="10264" width="9.09765625" style="3" customWidth="1"/>
    <col min="10265" max="10265" width="5.09765625" style="3" customWidth="1"/>
    <col min="10266" max="10266" width="15.09765625" style="3" customWidth="1"/>
    <col min="10267" max="10267" width="1.3984375" style="3" customWidth="1"/>
    <col min="10268" max="10268" width="0.8984375" style="3" customWidth="1"/>
    <col min="10269" max="10269" width="2.5" style="3" customWidth="1"/>
    <col min="10270" max="10270" width="6.59765625" style="3" customWidth="1"/>
    <col min="10271" max="10271" width="6.5" style="3" customWidth="1"/>
    <col min="10272" max="10272" width="2.5" style="3" customWidth="1"/>
    <col min="10273" max="10273" width="6.09765625" style="3" customWidth="1"/>
    <col min="10274" max="10274" width="1" style="3" customWidth="1"/>
    <col min="10275" max="10275" width="6.09765625" style="3" customWidth="1"/>
    <col min="10276" max="10276" width="1.5" style="3" customWidth="1"/>
    <col min="10277" max="10277" width="0.8984375" style="3" customWidth="1"/>
    <col min="10278" max="10278" width="1.5" style="3" customWidth="1"/>
    <col min="10279" max="10279" width="7.09765625" style="3" customWidth="1"/>
    <col min="10280" max="10280" width="4.59765625" style="3" customWidth="1"/>
    <col min="10281" max="10281" width="16.8984375" style="3" customWidth="1"/>
    <col min="10282" max="10282" width="2" style="3" customWidth="1"/>
    <col min="10283" max="10283" width="5.59765625" style="3" customWidth="1"/>
    <col min="10284" max="10284" width="9.5" style="3" customWidth="1"/>
    <col min="10285" max="10285" width="9.09765625" style="3" customWidth="1"/>
    <col min="10286" max="10286" width="5.09765625" style="3" customWidth="1"/>
    <col min="10287" max="10287" width="15.09765625" style="3" customWidth="1"/>
    <col min="10288" max="10288" width="1.3984375" style="3" customWidth="1"/>
    <col min="10289" max="10289" width="0.8984375" style="3" customWidth="1"/>
    <col min="10290" max="10290" width="2.5" style="3" customWidth="1"/>
    <col min="10291" max="10291" width="6.59765625" style="3" customWidth="1"/>
    <col min="10292" max="10292" width="6.5" style="3" customWidth="1"/>
    <col min="10293" max="10293" width="2.5" style="3" customWidth="1"/>
    <col min="10294" max="10294" width="6.09765625" style="3" customWidth="1"/>
    <col min="10295" max="10295" width="1" style="3" customWidth="1"/>
    <col min="10296" max="10296" width="6.09765625" style="3" customWidth="1"/>
    <col min="10297" max="10297" width="1.5" style="3" customWidth="1"/>
    <col min="10298" max="10298" width="0.8984375" style="3" customWidth="1"/>
    <col min="10299" max="10299" width="1.5" style="3" customWidth="1"/>
    <col min="10300" max="10300" width="7.09765625" style="3" customWidth="1"/>
    <col min="10301" max="10301" width="4.59765625" style="3" customWidth="1"/>
    <col min="10302" max="10302" width="16.8984375" style="3" customWidth="1"/>
    <col min="10303" max="10303" width="2" style="3" customWidth="1"/>
    <col min="10304" max="10304" width="5.59765625" style="3" customWidth="1"/>
    <col min="10305" max="10496" width="11" style="3"/>
    <col min="10497" max="10497" width="5" style="3" customWidth="1"/>
    <col min="10498" max="10498" width="9.5" style="3" customWidth="1"/>
    <col min="10499" max="10499" width="9.09765625" style="3" customWidth="1"/>
    <col min="10500" max="10500" width="5.09765625" style="3" customWidth="1"/>
    <col min="10501" max="10501" width="15.09765625" style="3" customWidth="1"/>
    <col min="10502" max="10502" width="1.3984375" style="3" customWidth="1"/>
    <col min="10503" max="10503" width="0.8984375" style="3" customWidth="1"/>
    <col min="10504" max="10504" width="2.5" style="3" customWidth="1"/>
    <col min="10505" max="10505" width="6.59765625" style="3" customWidth="1"/>
    <col min="10506" max="10506" width="6.5" style="3" customWidth="1"/>
    <col min="10507" max="10507" width="2.5" style="3" customWidth="1"/>
    <col min="10508" max="10508" width="6.09765625" style="3" customWidth="1"/>
    <col min="10509" max="10509" width="1" style="3" customWidth="1"/>
    <col min="10510" max="10510" width="6.09765625" style="3" customWidth="1"/>
    <col min="10511" max="10511" width="1.5" style="3" customWidth="1"/>
    <col min="10512" max="10512" width="0.8984375" style="3" customWidth="1"/>
    <col min="10513" max="10513" width="1.5" style="3" customWidth="1"/>
    <col min="10514" max="10514" width="7.09765625" style="3" customWidth="1"/>
    <col min="10515" max="10515" width="5.3984375" style="3" customWidth="1"/>
    <col min="10516" max="10516" width="16.8984375" style="3" customWidth="1"/>
    <col min="10517" max="10517" width="2" style="3" customWidth="1"/>
    <col min="10518" max="10518" width="5.59765625" style="3" customWidth="1"/>
    <col min="10519" max="10519" width="9.5" style="3" customWidth="1"/>
    <col min="10520" max="10520" width="9.09765625" style="3" customWidth="1"/>
    <col min="10521" max="10521" width="5.09765625" style="3" customWidth="1"/>
    <col min="10522" max="10522" width="15.09765625" style="3" customWidth="1"/>
    <col min="10523" max="10523" width="1.3984375" style="3" customWidth="1"/>
    <col min="10524" max="10524" width="0.8984375" style="3" customWidth="1"/>
    <col min="10525" max="10525" width="2.5" style="3" customWidth="1"/>
    <col min="10526" max="10526" width="6.59765625" style="3" customWidth="1"/>
    <col min="10527" max="10527" width="6.5" style="3" customWidth="1"/>
    <col min="10528" max="10528" width="2.5" style="3" customWidth="1"/>
    <col min="10529" max="10529" width="6.09765625" style="3" customWidth="1"/>
    <col min="10530" max="10530" width="1" style="3" customWidth="1"/>
    <col min="10531" max="10531" width="6.09765625" style="3" customWidth="1"/>
    <col min="10532" max="10532" width="1.5" style="3" customWidth="1"/>
    <col min="10533" max="10533" width="0.8984375" style="3" customWidth="1"/>
    <col min="10534" max="10534" width="1.5" style="3" customWidth="1"/>
    <col min="10535" max="10535" width="7.09765625" style="3" customWidth="1"/>
    <col min="10536" max="10536" width="4.59765625" style="3" customWidth="1"/>
    <col min="10537" max="10537" width="16.8984375" style="3" customWidth="1"/>
    <col min="10538" max="10538" width="2" style="3" customWidth="1"/>
    <col min="10539" max="10539" width="5.59765625" style="3" customWidth="1"/>
    <col min="10540" max="10540" width="9.5" style="3" customWidth="1"/>
    <col min="10541" max="10541" width="9.09765625" style="3" customWidth="1"/>
    <col min="10542" max="10542" width="5.09765625" style="3" customWidth="1"/>
    <col min="10543" max="10543" width="15.09765625" style="3" customWidth="1"/>
    <col min="10544" max="10544" width="1.3984375" style="3" customWidth="1"/>
    <col min="10545" max="10545" width="0.8984375" style="3" customWidth="1"/>
    <col min="10546" max="10546" width="2.5" style="3" customWidth="1"/>
    <col min="10547" max="10547" width="6.59765625" style="3" customWidth="1"/>
    <col min="10548" max="10548" width="6.5" style="3" customWidth="1"/>
    <col min="10549" max="10549" width="2.5" style="3" customWidth="1"/>
    <col min="10550" max="10550" width="6.09765625" style="3" customWidth="1"/>
    <col min="10551" max="10551" width="1" style="3" customWidth="1"/>
    <col min="10552" max="10552" width="6.09765625" style="3" customWidth="1"/>
    <col min="10553" max="10553" width="1.5" style="3" customWidth="1"/>
    <col min="10554" max="10554" width="0.8984375" style="3" customWidth="1"/>
    <col min="10555" max="10555" width="1.5" style="3" customWidth="1"/>
    <col min="10556" max="10556" width="7.09765625" style="3" customWidth="1"/>
    <col min="10557" max="10557" width="4.59765625" style="3" customWidth="1"/>
    <col min="10558" max="10558" width="16.8984375" style="3" customWidth="1"/>
    <col min="10559" max="10559" width="2" style="3" customWidth="1"/>
    <col min="10560" max="10560" width="5.59765625" style="3" customWidth="1"/>
    <col min="10561" max="10752" width="11" style="3"/>
    <col min="10753" max="10753" width="5" style="3" customWidth="1"/>
    <col min="10754" max="10754" width="9.5" style="3" customWidth="1"/>
    <col min="10755" max="10755" width="9.09765625" style="3" customWidth="1"/>
    <col min="10756" max="10756" width="5.09765625" style="3" customWidth="1"/>
    <col min="10757" max="10757" width="15.09765625" style="3" customWidth="1"/>
    <col min="10758" max="10758" width="1.3984375" style="3" customWidth="1"/>
    <col min="10759" max="10759" width="0.8984375" style="3" customWidth="1"/>
    <col min="10760" max="10760" width="2.5" style="3" customWidth="1"/>
    <col min="10761" max="10761" width="6.59765625" style="3" customWidth="1"/>
    <col min="10762" max="10762" width="6.5" style="3" customWidth="1"/>
    <col min="10763" max="10763" width="2.5" style="3" customWidth="1"/>
    <col min="10764" max="10764" width="6.09765625" style="3" customWidth="1"/>
    <col min="10765" max="10765" width="1" style="3" customWidth="1"/>
    <col min="10766" max="10766" width="6.09765625" style="3" customWidth="1"/>
    <col min="10767" max="10767" width="1.5" style="3" customWidth="1"/>
    <col min="10768" max="10768" width="0.8984375" style="3" customWidth="1"/>
    <col min="10769" max="10769" width="1.5" style="3" customWidth="1"/>
    <col min="10770" max="10770" width="7.09765625" style="3" customWidth="1"/>
    <col min="10771" max="10771" width="5.3984375" style="3" customWidth="1"/>
    <col min="10772" max="10772" width="16.8984375" style="3" customWidth="1"/>
    <col min="10773" max="10773" width="2" style="3" customWidth="1"/>
    <col min="10774" max="10774" width="5.59765625" style="3" customWidth="1"/>
    <col min="10775" max="10775" width="9.5" style="3" customWidth="1"/>
    <col min="10776" max="10776" width="9.09765625" style="3" customWidth="1"/>
    <col min="10777" max="10777" width="5.09765625" style="3" customWidth="1"/>
    <col min="10778" max="10778" width="15.09765625" style="3" customWidth="1"/>
    <col min="10779" max="10779" width="1.3984375" style="3" customWidth="1"/>
    <col min="10780" max="10780" width="0.8984375" style="3" customWidth="1"/>
    <col min="10781" max="10781" width="2.5" style="3" customWidth="1"/>
    <col min="10782" max="10782" width="6.59765625" style="3" customWidth="1"/>
    <col min="10783" max="10783" width="6.5" style="3" customWidth="1"/>
    <col min="10784" max="10784" width="2.5" style="3" customWidth="1"/>
    <col min="10785" max="10785" width="6.09765625" style="3" customWidth="1"/>
    <col min="10786" max="10786" width="1" style="3" customWidth="1"/>
    <col min="10787" max="10787" width="6.09765625" style="3" customWidth="1"/>
    <col min="10788" max="10788" width="1.5" style="3" customWidth="1"/>
    <col min="10789" max="10789" width="0.8984375" style="3" customWidth="1"/>
    <col min="10790" max="10790" width="1.5" style="3" customWidth="1"/>
    <col min="10791" max="10791" width="7.09765625" style="3" customWidth="1"/>
    <col min="10792" max="10792" width="4.59765625" style="3" customWidth="1"/>
    <col min="10793" max="10793" width="16.8984375" style="3" customWidth="1"/>
    <col min="10794" max="10794" width="2" style="3" customWidth="1"/>
    <col min="10795" max="10795" width="5.59765625" style="3" customWidth="1"/>
    <col min="10796" max="10796" width="9.5" style="3" customWidth="1"/>
    <col min="10797" max="10797" width="9.09765625" style="3" customWidth="1"/>
    <col min="10798" max="10798" width="5.09765625" style="3" customWidth="1"/>
    <col min="10799" max="10799" width="15.09765625" style="3" customWidth="1"/>
    <col min="10800" max="10800" width="1.3984375" style="3" customWidth="1"/>
    <col min="10801" max="10801" width="0.8984375" style="3" customWidth="1"/>
    <col min="10802" max="10802" width="2.5" style="3" customWidth="1"/>
    <col min="10803" max="10803" width="6.59765625" style="3" customWidth="1"/>
    <col min="10804" max="10804" width="6.5" style="3" customWidth="1"/>
    <col min="10805" max="10805" width="2.5" style="3" customWidth="1"/>
    <col min="10806" max="10806" width="6.09765625" style="3" customWidth="1"/>
    <col min="10807" max="10807" width="1" style="3" customWidth="1"/>
    <col min="10808" max="10808" width="6.09765625" style="3" customWidth="1"/>
    <col min="10809" max="10809" width="1.5" style="3" customWidth="1"/>
    <col min="10810" max="10810" width="0.8984375" style="3" customWidth="1"/>
    <col min="10811" max="10811" width="1.5" style="3" customWidth="1"/>
    <col min="10812" max="10812" width="7.09765625" style="3" customWidth="1"/>
    <col min="10813" max="10813" width="4.59765625" style="3" customWidth="1"/>
    <col min="10814" max="10814" width="16.8984375" style="3" customWidth="1"/>
    <col min="10815" max="10815" width="2" style="3" customWidth="1"/>
    <col min="10816" max="10816" width="5.59765625" style="3" customWidth="1"/>
    <col min="10817" max="11008" width="11" style="3"/>
    <col min="11009" max="11009" width="5" style="3" customWidth="1"/>
    <col min="11010" max="11010" width="9.5" style="3" customWidth="1"/>
    <col min="11011" max="11011" width="9.09765625" style="3" customWidth="1"/>
    <col min="11012" max="11012" width="5.09765625" style="3" customWidth="1"/>
    <col min="11013" max="11013" width="15.09765625" style="3" customWidth="1"/>
    <col min="11014" max="11014" width="1.3984375" style="3" customWidth="1"/>
    <col min="11015" max="11015" width="0.8984375" style="3" customWidth="1"/>
    <col min="11016" max="11016" width="2.5" style="3" customWidth="1"/>
    <col min="11017" max="11017" width="6.59765625" style="3" customWidth="1"/>
    <col min="11018" max="11018" width="6.5" style="3" customWidth="1"/>
    <col min="11019" max="11019" width="2.5" style="3" customWidth="1"/>
    <col min="11020" max="11020" width="6.09765625" style="3" customWidth="1"/>
    <col min="11021" max="11021" width="1" style="3" customWidth="1"/>
    <col min="11022" max="11022" width="6.09765625" style="3" customWidth="1"/>
    <col min="11023" max="11023" width="1.5" style="3" customWidth="1"/>
    <col min="11024" max="11024" width="0.8984375" style="3" customWidth="1"/>
    <col min="11025" max="11025" width="1.5" style="3" customWidth="1"/>
    <col min="11026" max="11026" width="7.09765625" style="3" customWidth="1"/>
    <col min="11027" max="11027" width="5.3984375" style="3" customWidth="1"/>
    <col min="11028" max="11028" width="16.8984375" style="3" customWidth="1"/>
    <col min="11029" max="11029" width="2" style="3" customWidth="1"/>
    <col min="11030" max="11030" width="5.59765625" style="3" customWidth="1"/>
    <col min="11031" max="11031" width="9.5" style="3" customWidth="1"/>
    <col min="11032" max="11032" width="9.09765625" style="3" customWidth="1"/>
    <col min="11033" max="11033" width="5.09765625" style="3" customWidth="1"/>
    <col min="11034" max="11034" width="15.09765625" style="3" customWidth="1"/>
    <col min="11035" max="11035" width="1.3984375" style="3" customWidth="1"/>
    <col min="11036" max="11036" width="0.8984375" style="3" customWidth="1"/>
    <col min="11037" max="11037" width="2.5" style="3" customWidth="1"/>
    <col min="11038" max="11038" width="6.59765625" style="3" customWidth="1"/>
    <col min="11039" max="11039" width="6.5" style="3" customWidth="1"/>
    <col min="11040" max="11040" width="2.5" style="3" customWidth="1"/>
    <col min="11041" max="11041" width="6.09765625" style="3" customWidth="1"/>
    <col min="11042" max="11042" width="1" style="3" customWidth="1"/>
    <col min="11043" max="11043" width="6.09765625" style="3" customWidth="1"/>
    <col min="11044" max="11044" width="1.5" style="3" customWidth="1"/>
    <col min="11045" max="11045" width="0.8984375" style="3" customWidth="1"/>
    <col min="11046" max="11046" width="1.5" style="3" customWidth="1"/>
    <col min="11047" max="11047" width="7.09765625" style="3" customWidth="1"/>
    <col min="11048" max="11048" width="4.59765625" style="3" customWidth="1"/>
    <col min="11049" max="11049" width="16.8984375" style="3" customWidth="1"/>
    <col min="11050" max="11050" width="2" style="3" customWidth="1"/>
    <col min="11051" max="11051" width="5.59765625" style="3" customWidth="1"/>
    <col min="11052" max="11052" width="9.5" style="3" customWidth="1"/>
    <col min="11053" max="11053" width="9.09765625" style="3" customWidth="1"/>
    <col min="11054" max="11054" width="5.09765625" style="3" customWidth="1"/>
    <col min="11055" max="11055" width="15.09765625" style="3" customWidth="1"/>
    <col min="11056" max="11056" width="1.3984375" style="3" customWidth="1"/>
    <col min="11057" max="11057" width="0.8984375" style="3" customWidth="1"/>
    <col min="11058" max="11058" width="2.5" style="3" customWidth="1"/>
    <col min="11059" max="11059" width="6.59765625" style="3" customWidth="1"/>
    <col min="11060" max="11060" width="6.5" style="3" customWidth="1"/>
    <col min="11061" max="11061" width="2.5" style="3" customWidth="1"/>
    <col min="11062" max="11062" width="6.09765625" style="3" customWidth="1"/>
    <col min="11063" max="11063" width="1" style="3" customWidth="1"/>
    <col min="11064" max="11064" width="6.09765625" style="3" customWidth="1"/>
    <col min="11065" max="11065" width="1.5" style="3" customWidth="1"/>
    <col min="11066" max="11066" width="0.8984375" style="3" customWidth="1"/>
    <col min="11067" max="11067" width="1.5" style="3" customWidth="1"/>
    <col min="11068" max="11068" width="7.09765625" style="3" customWidth="1"/>
    <col min="11069" max="11069" width="4.59765625" style="3" customWidth="1"/>
    <col min="11070" max="11070" width="16.8984375" style="3" customWidth="1"/>
    <col min="11071" max="11071" width="2" style="3" customWidth="1"/>
    <col min="11072" max="11072" width="5.59765625" style="3" customWidth="1"/>
    <col min="11073" max="11264" width="11" style="3"/>
    <col min="11265" max="11265" width="5" style="3" customWidth="1"/>
    <col min="11266" max="11266" width="9.5" style="3" customWidth="1"/>
    <col min="11267" max="11267" width="9.09765625" style="3" customWidth="1"/>
    <col min="11268" max="11268" width="5.09765625" style="3" customWidth="1"/>
    <col min="11269" max="11269" width="15.09765625" style="3" customWidth="1"/>
    <col min="11270" max="11270" width="1.3984375" style="3" customWidth="1"/>
    <col min="11271" max="11271" width="0.8984375" style="3" customWidth="1"/>
    <col min="11272" max="11272" width="2.5" style="3" customWidth="1"/>
    <col min="11273" max="11273" width="6.59765625" style="3" customWidth="1"/>
    <col min="11274" max="11274" width="6.5" style="3" customWidth="1"/>
    <col min="11275" max="11275" width="2.5" style="3" customWidth="1"/>
    <col min="11276" max="11276" width="6.09765625" style="3" customWidth="1"/>
    <col min="11277" max="11277" width="1" style="3" customWidth="1"/>
    <col min="11278" max="11278" width="6.09765625" style="3" customWidth="1"/>
    <col min="11279" max="11279" width="1.5" style="3" customWidth="1"/>
    <col min="11280" max="11280" width="0.8984375" style="3" customWidth="1"/>
    <col min="11281" max="11281" width="1.5" style="3" customWidth="1"/>
    <col min="11282" max="11282" width="7.09765625" style="3" customWidth="1"/>
    <col min="11283" max="11283" width="5.3984375" style="3" customWidth="1"/>
    <col min="11284" max="11284" width="16.8984375" style="3" customWidth="1"/>
    <col min="11285" max="11285" width="2" style="3" customWidth="1"/>
    <col min="11286" max="11286" width="5.59765625" style="3" customWidth="1"/>
    <col min="11287" max="11287" width="9.5" style="3" customWidth="1"/>
    <col min="11288" max="11288" width="9.09765625" style="3" customWidth="1"/>
    <col min="11289" max="11289" width="5.09765625" style="3" customWidth="1"/>
    <col min="11290" max="11290" width="15.09765625" style="3" customWidth="1"/>
    <col min="11291" max="11291" width="1.3984375" style="3" customWidth="1"/>
    <col min="11292" max="11292" width="0.8984375" style="3" customWidth="1"/>
    <col min="11293" max="11293" width="2.5" style="3" customWidth="1"/>
    <col min="11294" max="11294" width="6.59765625" style="3" customWidth="1"/>
    <col min="11295" max="11295" width="6.5" style="3" customWidth="1"/>
    <col min="11296" max="11296" width="2.5" style="3" customWidth="1"/>
    <col min="11297" max="11297" width="6.09765625" style="3" customWidth="1"/>
    <col min="11298" max="11298" width="1" style="3" customWidth="1"/>
    <col min="11299" max="11299" width="6.09765625" style="3" customWidth="1"/>
    <col min="11300" max="11300" width="1.5" style="3" customWidth="1"/>
    <col min="11301" max="11301" width="0.8984375" style="3" customWidth="1"/>
    <col min="11302" max="11302" width="1.5" style="3" customWidth="1"/>
    <col min="11303" max="11303" width="7.09765625" style="3" customWidth="1"/>
    <col min="11304" max="11304" width="4.59765625" style="3" customWidth="1"/>
    <col min="11305" max="11305" width="16.8984375" style="3" customWidth="1"/>
    <col min="11306" max="11306" width="2" style="3" customWidth="1"/>
    <col min="11307" max="11307" width="5.59765625" style="3" customWidth="1"/>
    <col min="11308" max="11308" width="9.5" style="3" customWidth="1"/>
    <col min="11309" max="11309" width="9.09765625" style="3" customWidth="1"/>
    <col min="11310" max="11310" width="5.09765625" style="3" customWidth="1"/>
    <col min="11311" max="11311" width="15.09765625" style="3" customWidth="1"/>
    <col min="11312" max="11312" width="1.3984375" style="3" customWidth="1"/>
    <col min="11313" max="11313" width="0.8984375" style="3" customWidth="1"/>
    <col min="11314" max="11314" width="2.5" style="3" customWidth="1"/>
    <col min="11315" max="11315" width="6.59765625" style="3" customWidth="1"/>
    <col min="11316" max="11316" width="6.5" style="3" customWidth="1"/>
    <col min="11317" max="11317" width="2.5" style="3" customWidth="1"/>
    <col min="11318" max="11318" width="6.09765625" style="3" customWidth="1"/>
    <col min="11319" max="11319" width="1" style="3" customWidth="1"/>
    <col min="11320" max="11320" width="6.09765625" style="3" customWidth="1"/>
    <col min="11321" max="11321" width="1.5" style="3" customWidth="1"/>
    <col min="11322" max="11322" width="0.8984375" style="3" customWidth="1"/>
    <col min="11323" max="11323" width="1.5" style="3" customWidth="1"/>
    <col min="11324" max="11324" width="7.09765625" style="3" customWidth="1"/>
    <col min="11325" max="11325" width="4.59765625" style="3" customWidth="1"/>
    <col min="11326" max="11326" width="16.8984375" style="3" customWidth="1"/>
    <col min="11327" max="11327" width="2" style="3" customWidth="1"/>
    <col min="11328" max="11328" width="5.59765625" style="3" customWidth="1"/>
    <col min="11329" max="11520" width="11" style="3"/>
    <col min="11521" max="11521" width="5" style="3" customWidth="1"/>
    <col min="11522" max="11522" width="9.5" style="3" customWidth="1"/>
    <col min="11523" max="11523" width="9.09765625" style="3" customWidth="1"/>
    <col min="11524" max="11524" width="5.09765625" style="3" customWidth="1"/>
    <col min="11525" max="11525" width="15.09765625" style="3" customWidth="1"/>
    <col min="11526" max="11526" width="1.3984375" style="3" customWidth="1"/>
    <col min="11527" max="11527" width="0.8984375" style="3" customWidth="1"/>
    <col min="11528" max="11528" width="2.5" style="3" customWidth="1"/>
    <col min="11529" max="11529" width="6.59765625" style="3" customWidth="1"/>
    <col min="11530" max="11530" width="6.5" style="3" customWidth="1"/>
    <col min="11531" max="11531" width="2.5" style="3" customWidth="1"/>
    <col min="11532" max="11532" width="6.09765625" style="3" customWidth="1"/>
    <col min="11533" max="11533" width="1" style="3" customWidth="1"/>
    <col min="11534" max="11534" width="6.09765625" style="3" customWidth="1"/>
    <col min="11535" max="11535" width="1.5" style="3" customWidth="1"/>
    <col min="11536" max="11536" width="0.8984375" style="3" customWidth="1"/>
    <col min="11537" max="11537" width="1.5" style="3" customWidth="1"/>
    <col min="11538" max="11538" width="7.09765625" style="3" customWidth="1"/>
    <col min="11539" max="11539" width="5.3984375" style="3" customWidth="1"/>
    <col min="11540" max="11540" width="16.8984375" style="3" customWidth="1"/>
    <col min="11541" max="11541" width="2" style="3" customWidth="1"/>
    <col min="11542" max="11542" width="5.59765625" style="3" customWidth="1"/>
    <col min="11543" max="11543" width="9.5" style="3" customWidth="1"/>
    <col min="11544" max="11544" width="9.09765625" style="3" customWidth="1"/>
    <col min="11545" max="11545" width="5.09765625" style="3" customWidth="1"/>
    <col min="11546" max="11546" width="15.09765625" style="3" customWidth="1"/>
    <col min="11547" max="11547" width="1.3984375" style="3" customWidth="1"/>
    <col min="11548" max="11548" width="0.8984375" style="3" customWidth="1"/>
    <col min="11549" max="11549" width="2.5" style="3" customWidth="1"/>
    <col min="11550" max="11550" width="6.59765625" style="3" customWidth="1"/>
    <col min="11551" max="11551" width="6.5" style="3" customWidth="1"/>
    <col min="11552" max="11552" width="2.5" style="3" customWidth="1"/>
    <col min="11553" max="11553" width="6.09765625" style="3" customWidth="1"/>
    <col min="11554" max="11554" width="1" style="3" customWidth="1"/>
    <col min="11555" max="11555" width="6.09765625" style="3" customWidth="1"/>
    <col min="11556" max="11556" width="1.5" style="3" customWidth="1"/>
    <col min="11557" max="11557" width="0.8984375" style="3" customWidth="1"/>
    <col min="11558" max="11558" width="1.5" style="3" customWidth="1"/>
    <col min="11559" max="11559" width="7.09765625" style="3" customWidth="1"/>
    <col min="11560" max="11560" width="4.59765625" style="3" customWidth="1"/>
    <col min="11561" max="11561" width="16.8984375" style="3" customWidth="1"/>
    <col min="11562" max="11562" width="2" style="3" customWidth="1"/>
    <col min="11563" max="11563" width="5.59765625" style="3" customWidth="1"/>
    <col min="11564" max="11564" width="9.5" style="3" customWidth="1"/>
    <col min="11565" max="11565" width="9.09765625" style="3" customWidth="1"/>
    <col min="11566" max="11566" width="5.09765625" style="3" customWidth="1"/>
    <col min="11567" max="11567" width="15.09765625" style="3" customWidth="1"/>
    <col min="11568" max="11568" width="1.3984375" style="3" customWidth="1"/>
    <col min="11569" max="11569" width="0.8984375" style="3" customWidth="1"/>
    <col min="11570" max="11570" width="2.5" style="3" customWidth="1"/>
    <col min="11571" max="11571" width="6.59765625" style="3" customWidth="1"/>
    <col min="11572" max="11572" width="6.5" style="3" customWidth="1"/>
    <col min="11573" max="11573" width="2.5" style="3" customWidth="1"/>
    <col min="11574" max="11574" width="6.09765625" style="3" customWidth="1"/>
    <col min="11575" max="11575" width="1" style="3" customWidth="1"/>
    <col min="11576" max="11576" width="6.09765625" style="3" customWidth="1"/>
    <col min="11577" max="11577" width="1.5" style="3" customWidth="1"/>
    <col min="11578" max="11578" width="0.8984375" style="3" customWidth="1"/>
    <col min="11579" max="11579" width="1.5" style="3" customWidth="1"/>
    <col min="11580" max="11580" width="7.09765625" style="3" customWidth="1"/>
    <col min="11581" max="11581" width="4.59765625" style="3" customWidth="1"/>
    <col min="11582" max="11582" width="16.8984375" style="3" customWidth="1"/>
    <col min="11583" max="11583" width="2" style="3" customWidth="1"/>
    <col min="11584" max="11584" width="5.59765625" style="3" customWidth="1"/>
    <col min="11585" max="11776" width="11" style="3"/>
    <col min="11777" max="11777" width="5" style="3" customWidth="1"/>
    <col min="11778" max="11778" width="9.5" style="3" customWidth="1"/>
    <col min="11779" max="11779" width="9.09765625" style="3" customWidth="1"/>
    <col min="11780" max="11780" width="5.09765625" style="3" customWidth="1"/>
    <col min="11781" max="11781" width="15.09765625" style="3" customWidth="1"/>
    <col min="11782" max="11782" width="1.3984375" style="3" customWidth="1"/>
    <col min="11783" max="11783" width="0.8984375" style="3" customWidth="1"/>
    <col min="11784" max="11784" width="2.5" style="3" customWidth="1"/>
    <col min="11785" max="11785" width="6.59765625" style="3" customWidth="1"/>
    <col min="11786" max="11786" width="6.5" style="3" customWidth="1"/>
    <col min="11787" max="11787" width="2.5" style="3" customWidth="1"/>
    <col min="11788" max="11788" width="6.09765625" style="3" customWidth="1"/>
    <col min="11789" max="11789" width="1" style="3" customWidth="1"/>
    <col min="11790" max="11790" width="6.09765625" style="3" customWidth="1"/>
    <col min="11791" max="11791" width="1.5" style="3" customWidth="1"/>
    <col min="11792" max="11792" width="0.8984375" style="3" customWidth="1"/>
    <col min="11793" max="11793" width="1.5" style="3" customWidth="1"/>
    <col min="11794" max="11794" width="7.09765625" style="3" customWidth="1"/>
    <col min="11795" max="11795" width="5.3984375" style="3" customWidth="1"/>
    <col min="11796" max="11796" width="16.8984375" style="3" customWidth="1"/>
    <col min="11797" max="11797" width="2" style="3" customWidth="1"/>
    <col min="11798" max="11798" width="5.59765625" style="3" customWidth="1"/>
    <col min="11799" max="11799" width="9.5" style="3" customWidth="1"/>
    <col min="11800" max="11800" width="9.09765625" style="3" customWidth="1"/>
    <col min="11801" max="11801" width="5.09765625" style="3" customWidth="1"/>
    <col min="11802" max="11802" width="15.09765625" style="3" customWidth="1"/>
    <col min="11803" max="11803" width="1.3984375" style="3" customWidth="1"/>
    <col min="11804" max="11804" width="0.8984375" style="3" customWidth="1"/>
    <col min="11805" max="11805" width="2.5" style="3" customWidth="1"/>
    <col min="11806" max="11806" width="6.59765625" style="3" customWidth="1"/>
    <col min="11807" max="11807" width="6.5" style="3" customWidth="1"/>
    <col min="11808" max="11808" width="2.5" style="3" customWidth="1"/>
    <col min="11809" max="11809" width="6.09765625" style="3" customWidth="1"/>
    <col min="11810" max="11810" width="1" style="3" customWidth="1"/>
    <col min="11811" max="11811" width="6.09765625" style="3" customWidth="1"/>
    <col min="11812" max="11812" width="1.5" style="3" customWidth="1"/>
    <col min="11813" max="11813" width="0.8984375" style="3" customWidth="1"/>
    <col min="11814" max="11814" width="1.5" style="3" customWidth="1"/>
    <col min="11815" max="11815" width="7.09765625" style="3" customWidth="1"/>
    <col min="11816" max="11816" width="4.59765625" style="3" customWidth="1"/>
    <col min="11817" max="11817" width="16.8984375" style="3" customWidth="1"/>
    <col min="11818" max="11818" width="2" style="3" customWidth="1"/>
    <col min="11819" max="11819" width="5.59765625" style="3" customWidth="1"/>
    <col min="11820" max="11820" width="9.5" style="3" customWidth="1"/>
    <col min="11821" max="11821" width="9.09765625" style="3" customWidth="1"/>
    <col min="11822" max="11822" width="5.09765625" style="3" customWidth="1"/>
    <col min="11823" max="11823" width="15.09765625" style="3" customWidth="1"/>
    <col min="11824" max="11824" width="1.3984375" style="3" customWidth="1"/>
    <col min="11825" max="11825" width="0.8984375" style="3" customWidth="1"/>
    <col min="11826" max="11826" width="2.5" style="3" customWidth="1"/>
    <col min="11827" max="11827" width="6.59765625" style="3" customWidth="1"/>
    <col min="11828" max="11828" width="6.5" style="3" customWidth="1"/>
    <col min="11829" max="11829" width="2.5" style="3" customWidth="1"/>
    <col min="11830" max="11830" width="6.09765625" style="3" customWidth="1"/>
    <col min="11831" max="11831" width="1" style="3" customWidth="1"/>
    <col min="11832" max="11832" width="6.09765625" style="3" customWidth="1"/>
    <col min="11833" max="11833" width="1.5" style="3" customWidth="1"/>
    <col min="11834" max="11834" width="0.8984375" style="3" customWidth="1"/>
    <col min="11835" max="11835" width="1.5" style="3" customWidth="1"/>
    <col min="11836" max="11836" width="7.09765625" style="3" customWidth="1"/>
    <col min="11837" max="11837" width="4.59765625" style="3" customWidth="1"/>
    <col min="11838" max="11838" width="16.8984375" style="3" customWidth="1"/>
    <col min="11839" max="11839" width="2" style="3" customWidth="1"/>
    <col min="11840" max="11840" width="5.59765625" style="3" customWidth="1"/>
    <col min="11841" max="12032" width="11" style="3"/>
    <col min="12033" max="12033" width="5" style="3" customWidth="1"/>
    <col min="12034" max="12034" width="9.5" style="3" customWidth="1"/>
    <col min="12035" max="12035" width="9.09765625" style="3" customWidth="1"/>
    <col min="12036" max="12036" width="5.09765625" style="3" customWidth="1"/>
    <col min="12037" max="12037" width="15.09765625" style="3" customWidth="1"/>
    <col min="12038" max="12038" width="1.3984375" style="3" customWidth="1"/>
    <col min="12039" max="12039" width="0.8984375" style="3" customWidth="1"/>
    <col min="12040" max="12040" width="2.5" style="3" customWidth="1"/>
    <col min="12041" max="12041" width="6.59765625" style="3" customWidth="1"/>
    <col min="12042" max="12042" width="6.5" style="3" customWidth="1"/>
    <col min="12043" max="12043" width="2.5" style="3" customWidth="1"/>
    <col min="12044" max="12044" width="6.09765625" style="3" customWidth="1"/>
    <col min="12045" max="12045" width="1" style="3" customWidth="1"/>
    <col min="12046" max="12046" width="6.09765625" style="3" customWidth="1"/>
    <col min="12047" max="12047" width="1.5" style="3" customWidth="1"/>
    <col min="12048" max="12048" width="0.8984375" style="3" customWidth="1"/>
    <col min="12049" max="12049" width="1.5" style="3" customWidth="1"/>
    <col min="12050" max="12050" width="7.09765625" style="3" customWidth="1"/>
    <col min="12051" max="12051" width="5.3984375" style="3" customWidth="1"/>
    <col min="12052" max="12052" width="16.8984375" style="3" customWidth="1"/>
    <col min="12053" max="12053" width="2" style="3" customWidth="1"/>
    <col min="12054" max="12054" width="5.59765625" style="3" customWidth="1"/>
    <col min="12055" max="12055" width="9.5" style="3" customWidth="1"/>
    <col min="12056" max="12056" width="9.09765625" style="3" customWidth="1"/>
    <col min="12057" max="12057" width="5.09765625" style="3" customWidth="1"/>
    <col min="12058" max="12058" width="15.09765625" style="3" customWidth="1"/>
    <col min="12059" max="12059" width="1.3984375" style="3" customWidth="1"/>
    <col min="12060" max="12060" width="0.8984375" style="3" customWidth="1"/>
    <col min="12061" max="12061" width="2.5" style="3" customWidth="1"/>
    <col min="12062" max="12062" width="6.59765625" style="3" customWidth="1"/>
    <col min="12063" max="12063" width="6.5" style="3" customWidth="1"/>
    <col min="12064" max="12064" width="2.5" style="3" customWidth="1"/>
    <col min="12065" max="12065" width="6.09765625" style="3" customWidth="1"/>
    <col min="12066" max="12066" width="1" style="3" customWidth="1"/>
    <col min="12067" max="12067" width="6.09765625" style="3" customWidth="1"/>
    <col min="12068" max="12068" width="1.5" style="3" customWidth="1"/>
    <col min="12069" max="12069" width="0.8984375" style="3" customWidth="1"/>
    <col min="12070" max="12070" width="1.5" style="3" customWidth="1"/>
    <col min="12071" max="12071" width="7.09765625" style="3" customWidth="1"/>
    <col min="12072" max="12072" width="4.59765625" style="3" customWidth="1"/>
    <col min="12073" max="12073" width="16.8984375" style="3" customWidth="1"/>
    <col min="12074" max="12074" width="2" style="3" customWidth="1"/>
    <col min="12075" max="12075" width="5.59765625" style="3" customWidth="1"/>
    <col min="12076" max="12076" width="9.5" style="3" customWidth="1"/>
    <col min="12077" max="12077" width="9.09765625" style="3" customWidth="1"/>
    <col min="12078" max="12078" width="5.09765625" style="3" customWidth="1"/>
    <col min="12079" max="12079" width="15.09765625" style="3" customWidth="1"/>
    <col min="12080" max="12080" width="1.3984375" style="3" customWidth="1"/>
    <col min="12081" max="12081" width="0.8984375" style="3" customWidth="1"/>
    <col min="12082" max="12082" width="2.5" style="3" customWidth="1"/>
    <col min="12083" max="12083" width="6.59765625" style="3" customWidth="1"/>
    <col min="12084" max="12084" width="6.5" style="3" customWidth="1"/>
    <col min="12085" max="12085" width="2.5" style="3" customWidth="1"/>
    <col min="12086" max="12086" width="6.09765625" style="3" customWidth="1"/>
    <col min="12087" max="12087" width="1" style="3" customWidth="1"/>
    <col min="12088" max="12088" width="6.09765625" style="3" customWidth="1"/>
    <col min="12089" max="12089" width="1.5" style="3" customWidth="1"/>
    <col min="12090" max="12090" width="0.8984375" style="3" customWidth="1"/>
    <col min="12091" max="12091" width="1.5" style="3" customWidth="1"/>
    <col min="12092" max="12092" width="7.09765625" style="3" customWidth="1"/>
    <col min="12093" max="12093" width="4.59765625" style="3" customWidth="1"/>
    <col min="12094" max="12094" width="16.8984375" style="3" customWidth="1"/>
    <col min="12095" max="12095" width="2" style="3" customWidth="1"/>
    <col min="12096" max="12096" width="5.59765625" style="3" customWidth="1"/>
    <col min="12097" max="12288" width="11" style="3"/>
    <col min="12289" max="12289" width="5" style="3" customWidth="1"/>
    <col min="12290" max="12290" width="9.5" style="3" customWidth="1"/>
    <col min="12291" max="12291" width="9.09765625" style="3" customWidth="1"/>
    <col min="12292" max="12292" width="5.09765625" style="3" customWidth="1"/>
    <col min="12293" max="12293" width="15.09765625" style="3" customWidth="1"/>
    <col min="12294" max="12294" width="1.3984375" style="3" customWidth="1"/>
    <col min="12295" max="12295" width="0.8984375" style="3" customWidth="1"/>
    <col min="12296" max="12296" width="2.5" style="3" customWidth="1"/>
    <col min="12297" max="12297" width="6.59765625" style="3" customWidth="1"/>
    <col min="12298" max="12298" width="6.5" style="3" customWidth="1"/>
    <col min="12299" max="12299" width="2.5" style="3" customWidth="1"/>
    <col min="12300" max="12300" width="6.09765625" style="3" customWidth="1"/>
    <col min="12301" max="12301" width="1" style="3" customWidth="1"/>
    <col min="12302" max="12302" width="6.09765625" style="3" customWidth="1"/>
    <col min="12303" max="12303" width="1.5" style="3" customWidth="1"/>
    <col min="12304" max="12304" width="0.8984375" style="3" customWidth="1"/>
    <col min="12305" max="12305" width="1.5" style="3" customWidth="1"/>
    <col min="12306" max="12306" width="7.09765625" style="3" customWidth="1"/>
    <col min="12307" max="12307" width="5.3984375" style="3" customWidth="1"/>
    <col min="12308" max="12308" width="16.8984375" style="3" customWidth="1"/>
    <col min="12309" max="12309" width="2" style="3" customWidth="1"/>
    <col min="12310" max="12310" width="5.59765625" style="3" customWidth="1"/>
    <col min="12311" max="12311" width="9.5" style="3" customWidth="1"/>
    <col min="12312" max="12312" width="9.09765625" style="3" customWidth="1"/>
    <col min="12313" max="12313" width="5.09765625" style="3" customWidth="1"/>
    <col min="12314" max="12314" width="15.09765625" style="3" customWidth="1"/>
    <col min="12315" max="12315" width="1.3984375" style="3" customWidth="1"/>
    <col min="12316" max="12316" width="0.8984375" style="3" customWidth="1"/>
    <col min="12317" max="12317" width="2.5" style="3" customWidth="1"/>
    <col min="12318" max="12318" width="6.59765625" style="3" customWidth="1"/>
    <col min="12319" max="12319" width="6.5" style="3" customWidth="1"/>
    <col min="12320" max="12320" width="2.5" style="3" customWidth="1"/>
    <col min="12321" max="12321" width="6.09765625" style="3" customWidth="1"/>
    <col min="12322" max="12322" width="1" style="3" customWidth="1"/>
    <col min="12323" max="12323" width="6.09765625" style="3" customWidth="1"/>
    <col min="12324" max="12324" width="1.5" style="3" customWidth="1"/>
    <col min="12325" max="12325" width="0.8984375" style="3" customWidth="1"/>
    <col min="12326" max="12326" width="1.5" style="3" customWidth="1"/>
    <col min="12327" max="12327" width="7.09765625" style="3" customWidth="1"/>
    <col min="12328" max="12328" width="4.59765625" style="3" customWidth="1"/>
    <col min="12329" max="12329" width="16.8984375" style="3" customWidth="1"/>
    <col min="12330" max="12330" width="2" style="3" customWidth="1"/>
    <col min="12331" max="12331" width="5.59765625" style="3" customWidth="1"/>
    <col min="12332" max="12332" width="9.5" style="3" customWidth="1"/>
    <col min="12333" max="12333" width="9.09765625" style="3" customWidth="1"/>
    <col min="12334" max="12334" width="5.09765625" style="3" customWidth="1"/>
    <col min="12335" max="12335" width="15.09765625" style="3" customWidth="1"/>
    <col min="12336" max="12336" width="1.3984375" style="3" customWidth="1"/>
    <col min="12337" max="12337" width="0.8984375" style="3" customWidth="1"/>
    <col min="12338" max="12338" width="2.5" style="3" customWidth="1"/>
    <col min="12339" max="12339" width="6.59765625" style="3" customWidth="1"/>
    <col min="12340" max="12340" width="6.5" style="3" customWidth="1"/>
    <col min="12341" max="12341" width="2.5" style="3" customWidth="1"/>
    <col min="12342" max="12342" width="6.09765625" style="3" customWidth="1"/>
    <col min="12343" max="12343" width="1" style="3" customWidth="1"/>
    <col min="12344" max="12344" width="6.09765625" style="3" customWidth="1"/>
    <col min="12345" max="12345" width="1.5" style="3" customWidth="1"/>
    <col min="12346" max="12346" width="0.8984375" style="3" customWidth="1"/>
    <col min="12347" max="12347" width="1.5" style="3" customWidth="1"/>
    <col min="12348" max="12348" width="7.09765625" style="3" customWidth="1"/>
    <col min="12349" max="12349" width="4.59765625" style="3" customWidth="1"/>
    <col min="12350" max="12350" width="16.8984375" style="3" customWidth="1"/>
    <col min="12351" max="12351" width="2" style="3" customWidth="1"/>
    <col min="12352" max="12352" width="5.59765625" style="3" customWidth="1"/>
    <col min="12353" max="12544" width="11" style="3"/>
    <col min="12545" max="12545" width="5" style="3" customWidth="1"/>
    <col min="12546" max="12546" width="9.5" style="3" customWidth="1"/>
    <col min="12547" max="12547" width="9.09765625" style="3" customWidth="1"/>
    <col min="12548" max="12548" width="5.09765625" style="3" customWidth="1"/>
    <col min="12549" max="12549" width="15.09765625" style="3" customWidth="1"/>
    <col min="12550" max="12550" width="1.3984375" style="3" customWidth="1"/>
    <col min="12551" max="12551" width="0.8984375" style="3" customWidth="1"/>
    <col min="12552" max="12552" width="2.5" style="3" customWidth="1"/>
    <col min="12553" max="12553" width="6.59765625" style="3" customWidth="1"/>
    <col min="12554" max="12554" width="6.5" style="3" customWidth="1"/>
    <col min="12555" max="12555" width="2.5" style="3" customWidth="1"/>
    <col min="12556" max="12556" width="6.09765625" style="3" customWidth="1"/>
    <col min="12557" max="12557" width="1" style="3" customWidth="1"/>
    <col min="12558" max="12558" width="6.09765625" style="3" customWidth="1"/>
    <col min="12559" max="12559" width="1.5" style="3" customWidth="1"/>
    <col min="12560" max="12560" width="0.8984375" style="3" customWidth="1"/>
    <col min="12561" max="12561" width="1.5" style="3" customWidth="1"/>
    <col min="12562" max="12562" width="7.09765625" style="3" customWidth="1"/>
    <col min="12563" max="12563" width="5.3984375" style="3" customWidth="1"/>
    <col min="12564" max="12564" width="16.8984375" style="3" customWidth="1"/>
    <col min="12565" max="12565" width="2" style="3" customWidth="1"/>
    <col min="12566" max="12566" width="5.59765625" style="3" customWidth="1"/>
    <col min="12567" max="12567" width="9.5" style="3" customWidth="1"/>
    <col min="12568" max="12568" width="9.09765625" style="3" customWidth="1"/>
    <col min="12569" max="12569" width="5.09765625" style="3" customWidth="1"/>
    <col min="12570" max="12570" width="15.09765625" style="3" customWidth="1"/>
    <col min="12571" max="12571" width="1.3984375" style="3" customWidth="1"/>
    <col min="12572" max="12572" width="0.8984375" style="3" customWidth="1"/>
    <col min="12573" max="12573" width="2.5" style="3" customWidth="1"/>
    <col min="12574" max="12574" width="6.59765625" style="3" customWidth="1"/>
    <col min="12575" max="12575" width="6.5" style="3" customWidth="1"/>
    <col min="12576" max="12576" width="2.5" style="3" customWidth="1"/>
    <col min="12577" max="12577" width="6.09765625" style="3" customWidth="1"/>
    <col min="12578" max="12578" width="1" style="3" customWidth="1"/>
    <col min="12579" max="12579" width="6.09765625" style="3" customWidth="1"/>
    <col min="12580" max="12580" width="1.5" style="3" customWidth="1"/>
    <col min="12581" max="12581" width="0.8984375" style="3" customWidth="1"/>
    <col min="12582" max="12582" width="1.5" style="3" customWidth="1"/>
    <col min="12583" max="12583" width="7.09765625" style="3" customWidth="1"/>
    <col min="12584" max="12584" width="4.59765625" style="3" customWidth="1"/>
    <col min="12585" max="12585" width="16.8984375" style="3" customWidth="1"/>
    <col min="12586" max="12586" width="2" style="3" customWidth="1"/>
    <col min="12587" max="12587" width="5.59765625" style="3" customWidth="1"/>
    <col min="12588" max="12588" width="9.5" style="3" customWidth="1"/>
    <col min="12589" max="12589" width="9.09765625" style="3" customWidth="1"/>
    <col min="12590" max="12590" width="5.09765625" style="3" customWidth="1"/>
    <col min="12591" max="12591" width="15.09765625" style="3" customWidth="1"/>
    <col min="12592" max="12592" width="1.3984375" style="3" customWidth="1"/>
    <col min="12593" max="12593" width="0.8984375" style="3" customWidth="1"/>
    <col min="12594" max="12594" width="2.5" style="3" customWidth="1"/>
    <col min="12595" max="12595" width="6.59765625" style="3" customWidth="1"/>
    <col min="12596" max="12596" width="6.5" style="3" customWidth="1"/>
    <col min="12597" max="12597" width="2.5" style="3" customWidth="1"/>
    <col min="12598" max="12598" width="6.09765625" style="3" customWidth="1"/>
    <col min="12599" max="12599" width="1" style="3" customWidth="1"/>
    <col min="12600" max="12600" width="6.09765625" style="3" customWidth="1"/>
    <col min="12601" max="12601" width="1.5" style="3" customWidth="1"/>
    <col min="12602" max="12602" width="0.8984375" style="3" customWidth="1"/>
    <col min="12603" max="12603" width="1.5" style="3" customWidth="1"/>
    <col min="12604" max="12604" width="7.09765625" style="3" customWidth="1"/>
    <col min="12605" max="12605" width="4.59765625" style="3" customWidth="1"/>
    <col min="12606" max="12606" width="16.8984375" style="3" customWidth="1"/>
    <col min="12607" max="12607" width="2" style="3" customWidth="1"/>
    <col min="12608" max="12608" width="5.59765625" style="3" customWidth="1"/>
    <col min="12609" max="12800" width="11" style="3"/>
    <col min="12801" max="12801" width="5" style="3" customWidth="1"/>
    <col min="12802" max="12802" width="9.5" style="3" customWidth="1"/>
    <col min="12803" max="12803" width="9.09765625" style="3" customWidth="1"/>
    <col min="12804" max="12804" width="5.09765625" style="3" customWidth="1"/>
    <col min="12805" max="12805" width="15.09765625" style="3" customWidth="1"/>
    <col min="12806" max="12806" width="1.3984375" style="3" customWidth="1"/>
    <col min="12807" max="12807" width="0.8984375" style="3" customWidth="1"/>
    <col min="12808" max="12808" width="2.5" style="3" customWidth="1"/>
    <col min="12809" max="12809" width="6.59765625" style="3" customWidth="1"/>
    <col min="12810" max="12810" width="6.5" style="3" customWidth="1"/>
    <col min="12811" max="12811" width="2.5" style="3" customWidth="1"/>
    <col min="12812" max="12812" width="6.09765625" style="3" customWidth="1"/>
    <col min="12813" max="12813" width="1" style="3" customWidth="1"/>
    <col min="12814" max="12814" width="6.09765625" style="3" customWidth="1"/>
    <col min="12815" max="12815" width="1.5" style="3" customWidth="1"/>
    <col min="12816" max="12816" width="0.8984375" style="3" customWidth="1"/>
    <col min="12817" max="12817" width="1.5" style="3" customWidth="1"/>
    <col min="12818" max="12818" width="7.09765625" style="3" customWidth="1"/>
    <col min="12819" max="12819" width="5.3984375" style="3" customWidth="1"/>
    <col min="12820" max="12820" width="16.8984375" style="3" customWidth="1"/>
    <col min="12821" max="12821" width="2" style="3" customWidth="1"/>
    <col min="12822" max="12822" width="5.59765625" style="3" customWidth="1"/>
    <col min="12823" max="12823" width="9.5" style="3" customWidth="1"/>
    <col min="12824" max="12824" width="9.09765625" style="3" customWidth="1"/>
    <col min="12825" max="12825" width="5.09765625" style="3" customWidth="1"/>
    <col min="12826" max="12826" width="15.09765625" style="3" customWidth="1"/>
    <col min="12827" max="12827" width="1.3984375" style="3" customWidth="1"/>
    <col min="12828" max="12828" width="0.8984375" style="3" customWidth="1"/>
    <col min="12829" max="12829" width="2.5" style="3" customWidth="1"/>
    <col min="12830" max="12830" width="6.59765625" style="3" customWidth="1"/>
    <col min="12831" max="12831" width="6.5" style="3" customWidth="1"/>
    <col min="12832" max="12832" width="2.5" style="3" customWidth="1"/>
    <col min="12833" max="12833" width="6.09765625" style="3" customWidth="1"/>
    <col min="12834" max="12834" width="1" style="3" customWidth="1"/>
    <col min="12835" max="12835" width="6.09765625" style="3" customWidth="1"/>
    <col min="12836" max="12836" width="1.5" style="3" customWidth="1"/>
    <col min="12837" max="12837" width="0.8984375" style="3" customWidth="1"/>
    <col min="12838" max="12838" width="1.5" style="3" customWidth="1"/>
    <col min="12839" max="12839" width="7.09765625" style="3" customWidth="1"/>
    <col min="12840" max="12840" width="4.59765625" style="3" customWidth="1"/>
    <col min="12841" max="12841" width="16.8984375" style="3" customWidth="1"/>
    <col min="12842" max="12842" width="2" style="3" customWidth="1"/>
    <col min="12843" max="12843" width="5.59765625" style="3" customWidth="1"/>
    <col min="12844" max="12844" width="9.5" style="3" customWidth="1"/>
    <col min="12845" max="12845" width="9.09765625" style="3" customWidth="1"/>
    <col min="12846" max="12846" width="5.09765625" style="3" customWidth="1"/>
    <col min="12847" max="12847" width="15.09765625" style="3" customWidth="1"/>
    <col min="12848" max="12848" width="1.3984375" style="3" customWidth="1"/>
    <col min="12849" max="12849" width="0.8984375" style="3" customWidth="1"/>
    <col min="12850" max="12850" width="2.5" style="3" customWidth="1"/>
    <col min="12851" max="12851" width="6.59765625" style="3" customWidth="1"/>
    <col min="12852" max="12852" width="6.5" style="3" customWidth="1"/>
    <col min="12853" max="12853" width="2.5" style="3" customWidth="1"/>
    <col min="12854" max="12854" width="6.09765625" style="3" customWidth="1"/>
    <col min="12855" max="12855" width="1" style="3" customWidth="1"/>
    <col min="12856" max="12856" width="6.09765625" style="3" customWidth="1"/>
    <col min="12857" max="12857" width="1.5" style="3" customWidth="1"/>
    <col min="12858" max="12858" width="0.8984375" style="3" customWidth="1"/>
    <col min="12859" max="12859" width="1.5" style="3" customWidth="1"/>
    <col min="12860" max="12860" width="7.09765625" style="3" customWidth="1"/>
    <col min="12861" max="12861" width="4.59765625" style="3" customWidth="1"/>
    <col min="12862" max="12862" width="16.8984375" style="3" customWidth="1"/>
    <col min="12863" max="12863" width="2" style="3" customWidth="1"/>
    <col min="12864" max="12864" width="5.59765625" style="3" customWidth="1"/>
    <col min="12865" max="13056" width="11" style="3"/>
    <col min="13057" max="13057" width="5" style="3" customWidth="1"/>
    <col min="13058" max="13058" width="9.5" style="3" customWidth="1"/>
    <col min="13059" max="13059" width="9.09765625" style="3" customWidth="1"/>
    <col min="13060" max="13060" width="5.09765625" style="3" customWidth="1"/>
    <col min="13061" max="13061" width="15.09765625" style="3" customWidth="1"/>
    <col min="13062" max="13062" width="1.3984375" style="3" customWidth="1"/>
    <col min="13063" max="13063" width="0.8984375" style="3" customWidth="1"/>
    <col min="13064" max="13064" width="2.5" style="3" customWidth="1"/>
    <col min="13065" max="13065" width="6.59765625" style="3" customWidth="1"/>
    <col min="13066" max="13066" width="6.5" style="3" customWidth="1"/>
    <col min="13067" max="13067" width="2.5" style="3" customWidth="1"/>
    <col min="13068" max="13068" width="6.09765625" style="3" customWidth="1"/>
    <col min="13069" max="13069" width="1" style="3" customWidth="1"/>
    <col min="13070" max="13070" width="6.09765625" style="3" customWidth="1"/>
    <col min="13071" max="13071" width="1.5" style="3" customWidth="1"/>
    <col min="13072" max="13072" width="0.8984375" style="3" customWidth="1"/>
    <col min="13073" max="13073" width="1.5" style="3" customWidth="1"/>
    <col min="13074" max="13074" width="7.09765625" style="3" customWidth="1"/>
    <col min="13075" max="13075" width="5.3984375" style="3" customWidth="1"/>
    <col min="13076" max="13076" width="16.8984375" style="3" customWidth="1"/>
    <col min="13077" max="13077" width="2" style="3" customWidth="1"/>
    <col min="13078" max="13078" width="5.59765625" style="3" customWidth="1"/>
    <col min="13079" max="13079" width="9.5" style="3" customWidth="1"/>
    <col min="13080" max="13080" width="9.09765625" style="3" customWidth="1"/>
    <col min="13081" max="13081" width="5.09765625" style="3" customWidth="1"/>
    <col min="13082" max="13082" width="15.09765625" style="3" customWidth="1"/>
    <col min="13083" max="13083" width="1.3984375" style="3" customWidth="1"/>
    <col min="13084" max="13084" width="0.8984375" style="3" customWidth="1"/>
    <col min="13085" max="13085" width="2.5" style="3" customWidth="1"/>
    <col min="13086" max="13086" width="6.59765625" style="3" customWidth="1"/>
    <col min="13087" max="13087" width="6.5" style="3" customWidth="1"/>
    <col min="13088" max="13088" width="2.5" style="3" customWidth="1"/>
    <col min="13089" max="13089" width="6.09765625" style="3" customWidth="1"/>
    <col min="13090" max="13090" width="1" style="3" customWidth="1"/>
    <col min="13091" max="13091" width="6.09765625" style="3" customWidth="1"/>
    <col min="13092" max="13092" width="1.5" style="3" customWidth="1"/>
    <col min="13093" max="13093" width="0.8984375" style="3" customWidth="1"/>
    <col min="13094" max="13094" width="1.5" style="3" customWidth="1"/>
    <col min="13095" max="13095" width="7.09765625" style="3" customWidth="1"/>
    <col min="13096" max="13096" width="4.59765625" style="3" customWidth="1"/>
    <col min="13097" max="13097" width="16.8984375" style="3" customWidth="1"/>
    <col min="13098" max="13098" width="2" style="3" customWidth="1"/>
    <col min="13099" max="13099" width="5.59765625" style="3" customWidth="1"/>
    <col min="13100" max="13100" width="9.5" style="3" customWidth="1"/>
    <col min="13101" max="13101" width="9.09765625" style="3" customWidth="1"/>
    <col min="13102" max="13102" width="5.09765625" style="3" customWidth="1"/>
    <col min="13103" max="13103" width="15.09765625" style="3" customWidth="1"/>
    <col min="13104" max="13104" width="1.3984375" style="3" customWidth="1"/>
    <col min="13105" max="13105" width="0.8984375" style="3" customWidth="1"/>
    <col min="13106" max="13106" width="2.5" style="3" customWidth="1"/>
    <col min="13107" max="13107" width="6.59765625" style="3" customWidth="1"/>
    <col min="13108" max="13108" width="6.5" style="3" customWidth="1"/>
    <col min="13109" max="13109" width="2.5" style="3" customWidth="1"/>
    <col min="13110" max="13110" width="6.09765625" style="3" customWidth="1"/>
    <col min="13111" max="13111" width="1" style="3" customWidth="1"/>
    <col min="13112" max="13112" width="6.09765625" style="3" customWidth="1"/>
    <col min="13113" max="13113" width="1.5" style="3" customWidth="1"/>
    <col min="13114" max="13114" width="0.8984375" style="3" customWidth="1"/>
    <col min="13115" max="13115" width="1.5" style="3" customWidth="1"/>
    <col min="13116" max="13116" width="7.09765625" style="3" customWidth="1"/>
    <col min="13117" max="13117" width="4.59765625" style="3" customWidth="1"/>
    <col min="13118" max="13118" width="16.8984375" style="3" customWidth="1"/>
    <col min="13119" max="13119" width="2" style="3" customWidth="1"/>
    <col min="13120" max="13120" width="5.59765625" style="3" customWidth="1"/>
    <col min="13121" max="13312" width="11" style="3"/>
    <col min="13313" max="13313" width="5" style="3" customWidth="1"/>
    <col min="13314" max="13314" width="9.5" style="3" customWidth="1"/>
    <col min="13315" max="13315" width="9.09765625" style="3" customWidth="1"/>
    <col min="13316" max="13316" width="5.09765625" style="3" customWidth="1"/>
    <col min="13317" max="13317" width="15.09765625" style="3" customWidth="1"/>
    <col min="13318" max="13318" width="1.3984375" style="3" customWidth="1"/>
    <col min="13319" max="13319" width="0.8984375" style="3" customWidth="1"/>
    <col min="13320" max="13320" width="2.5" style="3" customWidth="1"/>
    <col min="13321" max="13321" width="6.59765625" style="3" customWidth="1"/>
    <col min="13322" max="13322" width="6.5" style="3" customWidth="1"/>
    <col min="13323" max="13323" width="2.5" style="3" customWidth="1"/>
    <col min="13324" max="13324" width="6.09765625" style="3" customWidth="1"/>
    <col min="13325" max="13325" width="1" style="3" customWidth="1"/>
    <col min="13326" max="13326" width="6.09765625" style="3" customWidth="1"/>
    <col min="13327" max="13327" width="1.5" style="3" customWidth="1"/>
    <col min="13328" max="13328" width="0.8984375" style="3" customWidth="1"/>
    <col min="13329" max="13329" width="1.5" style="3" customWidth="1"/>
    <col min="13330" max="13330" width="7.09765625" style="3" customWidth="1"/>
    <col min="13331" max="13331" width="5.3984375" style="3" customWidth="1"/>
    <col min="13332" max="13332" width="16.8984375" style="3" customWidth="1"/>
    <col min="13333" max="13333" width="2" style="3" customWidth="1"/>
    <col min="13334" max="13334" width="5.59765625" style="3" customWidth="1"/>
    <col min="13335" max="13335" width="9.5" style="3" customWidth="1"/>
    <col min="13336" max="13336" width="9.09765625" style="3" customWidth="1"/>
    <col min="13337" max="13337" width="5.09765625" style="3" customWidth="1"/>
    <col min="13338" max="13338" width="15.09765625" style="3" customWidth="1"/>
    <col min="13339" max="13339" width="1.3984375" style="3" customWidth="1"/>
    <col min="13340" max="13340" width="0.8984375" style="3" customWidth="1"/>
    <col min="13341" max="13341" width="2.5" style="3" customWidth="1"/>
    <col min="13342" max="13342" width="6.59765625" style="3" customWidth="1"/>
    <col min="13343" max="13343" width="6.5" style="3" customWidth="1"/>
    <col min="13344" max="13344" width="2.5" style="3" customWidth="1"/>
    <col min="13345" max="13345" width="6.09765625" style="3" customWidth="1"/>
    <col min="13346" max="13346" width="1" style="3" customWidth="1"/>
    <col min="13347" max="13347" width="6.09765625" style="3" customWidth="1"/>
    <col min="13348" max="13348" width="1.5" style="3" customWidth="1"/>
    <col min="13349" max="13349" width="0.8984375" style="3" customWidth="1"/>
    <col min="13350" max="13350" width="1.5" style="3" customWidth="1"/>
    <col min="13351" max="13351" width="7.09765625" style="3" customWidth="1"/>
    <col min="13352" max="13352" width="4.59765625" style="3" customWidth="1"/>
    <col min="13353" max="13353" width="16.8984375" style="3" customWidth="1"/>
    <col min="13354" max="13354" width="2" style="3" customWidth="1"/>
    <col min="13355" max="13355" width="5.59765625" style="3" customWidth="1"/>
    <col min="13356" max="13356" width="9.5" style="3" customWidth="1"/>
    <col min="13357" max="13357" width="9.09765625" style="3" customWidth="1"/>
    <col min="13358" max="13358" width="5.09765625" style="3" customWidth="1"/>
    <col min="13359" max="13359" width="15.09765625" style="3" customWidth="1"/>
    <col min="13360" max="13360" width="1.3984375" style="3" customWidth="1"/>
    <col min="13361" max="13361" width="0.8984375" style="3" customWidth="1"/>
    <col min="13362" max="13362" width="2.5" style="3" customWidth="1"/>
    <col min="13363" max="13363" width="6.59765625" style="3" customWidth="1"/>
    <col min="13364" max="13364" width="6.5" style="3" customWidth="1"/>
    <col min="13365" max="13365" width="2.5" style="3" customWidth="1"/>
    <col min="13366" max="13366" width="6.09765625" style="3" customWidth="1"/>
    <col min="13367" max="13367" width="1" style="3" customWidth="1"/>
    <col min="13368" max="13368" width="6.09765625" style="3" customWidth="1"/>
    <col min="13369" max="13369" width="1.5" style="3" customWidth="1"/>
    <col min="13370" max="13370" width="0.8984375" style="3" customWidth="1"/>
    <col min="13371" max="13371" width="1.5" style="3" customWidth="1"/>
    <col min="13372" max="13372" width="7.09765625" style="3" customWidth="1"/>
    <col min="13373" max="13373" width="4.59765625" style="3" customWidth="1"/>
    <col min="13374" max="13374" width="16.8984375" style="3" customWidth="1"/>
    <col min="13375" max="13375" width="2" style="3" customWidth="1"/>
    <col min="13376" max="13376" width="5.59765625" style="3" customWidth="1"/>
    <col min="13377" max="13568" width="11" style="3"/>
    <col min="13569" max="13569" width="5" style="3" customWidth="1"/>
    <col min="13570" max="13570" width="9.5" style="3" customWidth="1"/>
    <col min="13571" max="13571" width="9.09765625" style="3" customWidth="1"/>
    <col min="13572" max="13572" width="5.09765625" style="3" customWidth="1"/>
    <col min="13573" max="13573" width="15.09765625" style="3" customWidth="1"/>
    <col min="13574" max="13574" width="1.3984375" style="3" customWidth="1"/>
    <col min="13575" max="13575" width="0.8984375" style="3" customWidth="1"/>
    <col min="13576" max="13576" width="2.5" style="3" customWidth="1"/>
    <col min="13577" max="13577" width="6.59765625" style="3" customWidth="1"/>
    <col min="13578" max="13578" width="6.5" style="3" customWidth="1"/>
    <col min="13579" max="13579" width="2.5" style="3" customWidth="1"/>
    <col min="13580" max="13580" width="6.09765625" style="3" customWidth="1"/>
    <col min="13581" max="13581" width="1" style="3" customWidth="1"/>
    <col min="13582" max="13582" width="6.09765625" style="3" customWidth="1"/>
    <col min="13583" max="13583" width="1.5" style="3" customWidth="1"/>
    <col min="13584" max="13584" width="0.8984375" style="3" customWidth="1"/>
    <col min="13585" max="13585" width="1.5" style="3" customWidth="1"/>
    <col min="13586" max="13586" width="7.09765625" style="3" customWidth="1"/>
    <col min="13587" max="13587" width="5.3984375" style="3" customWidth="1"/>
    <col min="13588" max="13588" width="16.8984375" style="3" customWidth="1"/>
    <col min="13589" max="13589" width="2" style="3" customWidth="1"/>
    <col min="13590" max="13590" width="5.59765625" style="3" customWidth="1"/>
    <col min="13591" max="13591" width="9.5" style="3" customWidth="1"/>
    <col min="13592" max="13592" width="9.09765625" style="3" customWidth="1"/>
    <col min="13593" max="13593" width="5.09765625" style="3" customWidth="1"/>
    <col min="13594" max="13594" width="15.09765625" style="3" customWidth="1"/>
    <col min="13595" max="13595" width="1.3984375" style="3" customWidth="1"/>
    <col min="13596" max="13596" width="0.8984375" style="3" customWidth="1"/>
    <col min="13597" max="13597" width="2.5" style="3" customWidth="1"/>
    <col min="13598" max="13598" width="6.59765625" style="3" customWidth="1"/>
    <col min="13599" max="13599" width="6.5" style="3" customWidth="1"/>
    <col min="13600" max="13600" width="2.5" style="3" customWidth="1"/>
    <col min="13601" max="13601" width="6.09765625" style="3" customWidth="1"/>
    <col min="13602" max="13602" width="1" style="3" customWidth="1"/>
    <col min="13603" max="13603" width="6.09765625" style="3" customWidth="1"/>
    <col min="13604" max="13604" width="1.5" style="3" customWidth="1"/>
    <col min="13605" max="13605" width="0.8984375" style="3" customWidth="1"/>
    <col min="13606" max="13606" width="1.5" style="3" customWidth="1"/>
    <col min="13607" max="13607" width="7.09765625" style="3" customWidth="1"/>
    <col min="13608" max="13608" width="4.59765625" style="3" customWidth="1"/>
    <col min="13609" max="13609" width="16.8984375" style="3" customWidth="1"/>
    <col min="13610" max="13610" width="2" style="3" customWidth="1"/>
    <col min="13611" max="13611" width="5.59765625" style="3" customWidth="1"/>
    <col min="13612" max="13612" width="9.5" style="3" customWidth="1"/>
    <col min="13613" max="13613" width="9.09765625" style="3" customWidth="1"/>
    <col min="13614" max="13614" width="5.09765625" style="3" customWidth="1"/>
    <col min="13615" max="13615" width="15.09765625" style="3" customWidth="1"/>
    <col min="13616" max="13616" width="1.3984375" style="3" customWidth="1"/>
    <col min="13617" max="13617" width="0.8984375" style="3" customWidth="1"/>
    <col min="13618" max="13618" width="2.5" style="3" customWidth="1"/>
    <col min="13619" max="13619" width="6.59765625" style="3" customWidth="1"/>
    <col min="13620" max="13620" width="6.5" style="3" customWidth="1"/>
    <col min="13621" max="13621" width="2.5" style="3" customWidth="1"/>
    <col min="13622" max="13622" width="6.09765625" style="3" customWidth="1"/>
    <col min="13623" max="13623" width="1" style="3" customWidth="1"/>
    <col min="13624" max="13624" width="6.09765625" style="3" customWidth="1"/>
    <col min="13625" max="13625" width="1.5" style="3" customWidth="1"/>
    <col min="13626" max="13626" width="0.8984375" style="3" customWidth="1"/>
    <col min="13627" max="13627" width="1.5" style="3" customWidth="1"/>
    <col min="13628" max="13628" width="7.09765625" style="3" customWidth="1"/>
    <col min="13629" max="13629" width="4.59765625" style="3" customWidth="1"/>
    <col min="13630" max="13630" width="16.8984375" style="3" customWidth="1"/>
    <col min="13631" max="13631" width="2" style="3" customWidth="1"/>
    <col min="13632" max="13632" width="5.59765625" style="3" customWidth="1"/>
    <col min="13633" max="13824" width="11" style="3"/>
    <col min="13825" max="13825" width="5" style="3" customWidth="1"/>
    <col min="13826" max="13826" width="9.5" style="3" customWidth="1"/>
    <col min="13827" max="13827" width="9.09765625" style="3" customWidth="1"/>
    <col min="13828" max="13828" width="5.09765625" style="3" customWidth="1"/>
    <col min="13829" max="13829" width="15.09765625" style="3" customWidth="1"/>
    <col min="13830" max="13830" width="1.3984375" style="3" customWidth="1"/>
    <col min="13831" max="13831" width="0.8984375" style="3" customWidth="1"/>
    <col min="13832" max="13832" width="2.5" style="3" customWidth="1"/>
    <col min="13833" max="13833" width="6.59765625" style="3" customWidth="1"/>
    <col min="13834" max="13834" width="6.5" style="3" customWidth="1"/>
    <col min="13835" max="13835" width="2.5" style="3" customWidth="1"/>
    <col min="13836" max="13836" width="6.09765625" style="3" customWidth="1"/>
    <col min="13837" max="13837" width="1" style="3" customWidth="1"/>
    <col min="13838" max="13838" width="6.09765625" style="3" customWidth="1"/>
    <col min="13839" max="13839" width="1.5" style="3" customWidth="1"/>
    <col min="13840" max="13840" width="0.8984375" style="3" customWidth="1"/>
    <col min="13841" max="13841" width="1.5" style="3" customWidth="1"/>
    <col min="13842" max="13842" width="7.09765625" style="3" customWidth="1"/>
    <col min="13843" max="13843" width="5.3984375" style="3" customWidth="1"/>
    <col min="13844" max="13844" width="16.8984375" style="3" customWidth="1"/>
    <col min="13845" max="13845" width="2" style="3" customWidth="1"/>
    <col min="13846" max="13846" width="5.59765625" style="3" customWidth="1"/>
    <col min="13847" max="13847" width="9.5" style="3" customWidth="1"/>
    <col min="13848" max="13848" width="9.09765625" style="3" customWidth="1"/>
    <col min="13849" max="13849" width="5.09765625" style="3" customWidth="1"/>
    <col min="13850" max="13850" width="15.09765625" style="3" customWidth="1"/>
    <col min="13851" max="13851" width="1.3984375" style="3" customWidth="1"/>
    <col min="13852" max="13852" width="0.8984375" style="3" customWidth="1"/>
    <col min="13853" max="13853" width="2.5" style="3" customWidth="1"/>
    <col min="13854" max="13854" width="6.59765625" style="3" customWidth="1"/>
    <col min="13855" max="13855" width="6.5" style="3" customWidth="1"/>
    <col min="13856" max="13856" width="2.5" style="3" customWidth="1"/>
    <col min="13857" max="13857" width="6.09765625" style="3" customWidth="1"/>
    <col min="13858" max="13858" width="1" style="3" customWidth="1"/>
    <col min="13859" max="13859" width="6.09765625" style="3" customWidth="1"/>
    <col min="13860" max="13860" width="1.5" style="3" customWidth="1"/>
    <col min="13861" max="13861" width="0.8984375" style="3" customWidth="1"/>
    <col min="13862" max="13862" width="1.5" style="3" customWidth="1"/>
    <col min="13863" max="13863" width="7.09765625" style="3" customWidth="1"/>
    <col min="13864" max="13864" width="4.59765625" style="3" customWidth="1"/>
    <col min="13865" max="13865" width="16.8984375" style="3" customWidth="1"/>
    <col min="13866" max="13866" width="2" style="3" customWidth="1"/>
    <col min="13867" max="13867" width="5.59765625" style="3" customWidth="1"/>
    <col min="13868" max="13868" width="9.5" style="3" customWidth="1"/>
    <col min="13869" max="13869" width="9.09765625" style="3" customWidth="1"/>
    <col min="13870" max="13870" width="5.09765625" style="3" customWidth="1"/>
    <col min="13871" max="13871" width="15.09765625" style="3" customWidth="1"/>
    <col min="13872" max="13872" width="1.3984375" style="3" customWidth="1"/>
    <col min="13873" max="13873" width="0.8984375" style="3" customWidth="1"/>
    <col min="13874" max="13874" width="2.5" style="3" customWidth="1"/>
    <col min="13875" max="13875" width="6.59765625" style="3" customWidth="1"/>
    <col min="13876" max="13876" width="6.5" style="3" customWidth="1"/>
    <col min="13877" max="13877" width="2.5" style="3" customWidth="1"/>
    <col min="13878" max="13878" width="6.09765625" style="3" customWidth="1"/>
    <col min="13879" max="13879" width="1" style="3" customWidth="1"/>
    <col min="13880" max="13880" width="6.09765625" style="3" customWidth="1"/>
    <col min="13881" max="13881" width="1.5" style="3" customWidth="1"/>
    <col min="13882" max="13882" width="0.8984375" style="3" customWidth="1"/>
    <col min="13883" max="13883" width="1.5" style="3" customWidth="1"/>
    <col min="13884" max="13884" width="7.09765625" style="3" customWidth="1"/>
    <col min="13885" max="13885" width="4.59765625" style="3" customWidth="1"/>
    <col min="13886" max="13886" width="16.8984375" style="3" customWidth="1"/>
    <col min="13887" max="13887" width="2" style="3" customWidth="1"/>
    <col min="13888" max="13888" width="5.59765625" style="3" customWidth="1"/>
    <col min="13889" max="14080" width="11" style="3"/>
    <col min="14081" max="14081" width="5" style="3" customWidth="1"/>
    <col min="14082" max="14082" width="9.5" style="3" customWidth="1"/>
    <col min="14083" max="14083" width="9.09765625" style="3" customWidth="1"/>
    <col min="14084" max="14084" width="5.09765625" style="3" customWidth="1"/>
    <col min="14085" max="14085" width="15.09765625" style="3" customWidth="1"/>
    <col min="14086" max="14086" width="1.3984375" style="3" customWidth="1"/>
    <col min="14087" max="14087" width="0.8984375" style="3" customWidth="1"/>
    <col min="14088" max="14088" width="2.5" style="3" customWidth="1"/>
    <col min="14089" max="14089" width="6.59765625" style="3" customWidth="1"/>
    <col min="14090" max="14090" width="6.5" style="3" customWidth="1"/>
    <col min="14091" max="14091" width="2.5" style="3" customWidth="1"/>
    <col min="14092" max="14092" width="6.09765625" style="3" customWidth="1"/>
    <col min="14093" max="14093" width="1" style="3" customWidth="1"/>
    <col min="14094" max="14094" width="6.09765625" style="3" customWidth="1"/>
    <col min="14095" max="14095" width="1.5" style="3" customWidth="1"/>
    <col min="14096" max="14096" width="0.8984375" style="3" customWidth="1"/>
    <col min="14097" max="14097" width="1.5" style="3" customWidth="1"/>
    <col min="14098" max="14098" width="7.09765625" style="3" customWidth="1"/>
    <col min="14099" max="14099" width="5.3984375" style="3" customWidth="1"/>
    <col min="14100" max="14100" width="16.8984375" style="3" customWidth="1"/>
    <col min="14101" max="14101" width="2" style="3" customWidth="1"/>
    <col min="14102" max="14102" width="5.59765625" style="3" customWidth="1"/>
    <col min="14103" max="14103" width="9.5" style="3" customWidth="1"/>
    <col min="14104" max="14104" width="9.09765625" style="3" customWidth="1"/>
    <col min="14105" max="14105" width="5.09765625" style="3" customWidth="1"/>
    <col min="14106" max="14106" width="15.09765625" style="3" customWidth="1"/>
    <col min="14107" max="14107" width="1.3984375" style="3" customWidth="1"/>
    <col min="14108" max="14108" width="0.8984375" style="3" customWidth="1"/>
    <col min="14109" max="14109" width="2.5" style="3" customWidth="1"/>
    <col min="14110" max="14110" width="6.59765625" style="3" customWidth="1"/>
    <col min="14111" max="14111" width="6.5" style="3" customWidth="1"/>
    <col min="14112" max="14112" width="2.5" style="3" customWidth="1"/>
    <col min="14113" max="14113" width="6.09765625" style="3" customWidth="1"/>
    <col min="14114" max="14114" width="1" style="3" customWidth="1"/>
    <col min="14115" max="14115" width="6.09765625" style="3" customWidth="1"/>
    <col min="14116" max="14116" width="1.5" style="3" customWidth="1"/>
    <col min="14117" max="14117" width="0.8984375" style="3" customWidth="1"/>
    <col min="14118" max="14118" width="1.5" style="3" customWidth="1"/>
    <col min="14119" max="14119" width="7.09765625" style="3" customWidth="1"/>
    <col min="14120" max="14120" width="4.59765625" style="3" customWidth="1"/>
    <col min="14121" max="14121" width="16.8984375" style="3" customWidth="1"/>
    <col min="14122" max="14122" width="2" style="3" customWidth="1"/>
    <col min="14123" max="14123" width="5.59765625" style="3" customWidth="1"/>
    <col min="14124" max="14124" width="9.5" style="3" customWidth="1"/>
    <col min="14125" max="14125" width="9.09765625" style="3" customWidth="1"/>
    <col min="14126" max="14126" width="5.09765625" style="3" customWidth="1"/>
    <col min="14127" max="14127" width="15.09765625" style="3" customWidth="1"/>
    <col min="14128" max="14128" width="1.3984375" style="3" customWidth="1"/>
    <col min="14129" max="14129" width="0.8984375" style="3" customWidth="1"/>
    <col min="14130" max="14130" width="2.5" style="3" customWidth="1"/>
    <col min="14131" max="14131" width="6.59765625" style="3" customWidth="1"/>
    <col min="14132" max="14132" width="6.5" style="3" customWidth="1"/>
    <col min="14133" max="14133" width="2.5" style="3" customWidth="1"/>
    <col min="14134" max="14134" width="6.09765625" style="3" customWidth="1"/>
    <col min="14135" max="14135" width="1" style="3" customWidth="1"/>
    <col min="14136" max="14136" width="6.09765625" style="3" customWidth="1"/>
    <col min="14137" max="14137" width="1.5" style="3" customWidth="1"/>
    <col min="14138" max="14138" width="0.8984375" style="3" customWidth="1"/>
    <col min="14139" max="14139" width="1.5" style="3" customWidth="1"/>
    <col min="14140" max="14140" width="7.09765625" style="3" customWidth="1"/>
    <col min="14141" max="14141" width="4.59765625" style="3" customWidth="1"/>
    <col min="14142" max="14142" width="16.8984375" style="3" customWidth="1"/>
    <col min="14143" max="14143" width="2" style="3" customWidth="1"/>
    <col min="14144" max="14144" width="5.59765625" style="3" customWidth="1"/>
    <col min="14145" max="14336" width="11" style="3"/>
    <col min="14337" max="14337" width="5" style="3" customWidth="1"/>
    <col min="14338" max="14338" width="9.5" style="3" customWidth="1"/>
    <col min="14339" max="14339" width="9.09765625" style="3" customWidth="1"/>
    <col min="14340" max="14340" width="5.09765625" style="3" customWidth="1"/>
    <col min="14341" max="14341" width="15.09765625" style="3" customWidth="1"/>
    <col min="14342" max="14342" width="1.3984375" style="3" customWidth="1"/>
    <col min="14343" max="14343" width="0.8984375" style="3" customWidth="1"/>
    <col min="14344" max="14344" width="2.5" style="3" customWidth="1"/>
    <col min="14345" max="14345" width="6.59765625" style="3" customWidth="1"/>
    <col min="14346" max="14346" width="6.5" style="3" customWidth="1"/>
    <col min="14347" max="14347" width="2.5" style="3" customWidth="1"/>
    <col min="14348" max="14348" width="6.09765625" style="3" customWidth="1"/>
    <col min="14349" max="14349" width="1" style="3" customWidth="1"/>
    <col min="14350" max="14350" width="6.09765625" style="3" customWidth="1"/>
    <col min="14351" max="14351" width="1.5" style="3" customWidth="1"/>
    <col min="14352" max="14352" width="0.8984375" style="3" customWidth="1"/>
    <col min="14353" max="14353" width="1.5" style="3" customWidth="1"/>
    <col min="14354" max="14354" width="7.09765625" style="3" customWidth="1"/>
    <col min="14355" max="14355" width="5.3984375" style="3" customWidth="1"/>
    <col min="14356" max="14356" width="16.8984375" style="3" customWidth="1"/>
    <col min="14357" max="14357" width="2" style="3" customWidth="1"/>
    <col min="14358" max="14358" width="5.59765625" style="3" customWidth="1"/>
    <col min="14359" max="14359" width="9.5" style="3" customWidth="1"/>
    <col min="14360" max="14360" width="9.09765625" style="3" customWidth="1"/>
    <col min="14361" max="14361" width="5.09765625" style="3" customWidth="1"/>
    <col min="14362" max="14362" width="15.09765625" style="3" customWidth="1"/>
    <col min="14363" max="14363" width="1.3984375" style="3" customWidth="1"/>
    <col min="14364" max="14364" width="0.8984375" style="3" customWidth="1"/>
    <col min="14365" max="14365" width="2.5" style="3" customWidth="1"/>
    <col min="14366" max="14366" width="6.59765625" style="3" customWidth="1"/>
    <col min="14367" max="14367" width="6.5" style="3" customWidth="1"/>
    <col min="14368" max="14368" width="2.5" style="3" customWidth="1"/>
    <col min="14369" max="14369" width="6.09765625" style="3" customWidth="1"/>
    <col min="14370" max="14370" width="1" style="3" customWidth="1"/>
    <col min="14371" max="14371" width="6.09765625" style="3" customWidth="1"/>
    <col min="14372" max="14372" width="1.5" style="3" customWidth="1"/>
    <col min="14373" max="14373" width="0.8984375" style="3" customWidth="1"/>
    <col min="14374" max="14374" width="1.5" style="3" customWidth="1"/>
    <col min="14375" max="14375" width="7.09765625" style="3" customWidth="1"/>
    <col min="14376" max="14376" width="4.59765625" style="3" customWidth="1"/>
    <col min="14377" max="14377" width="16.8984375" style="3" customWidth="1"/>
    <col min="14378" max="14378" width="2" style="3" customWidth="1"/>
    <col min="14379" max="14379" width="5.59765625" style="3" customWidth="1"/>
    <col min="14380" max="14380" width="9.5" style="3" customWidth="1"/>
    <col min="14381" max="14381" width="9.09765625" style="3" customWidth="1"/>
    <col min="14382" max="14382" width="5.09765625" style="3" customWidth="1"/>
    <col min="14383" max="14383" width="15.09765625" style="3" customWidth="1"/>
    <col min="14384" max="14384" width="1.3984375" style="3" customWidth="1"/>
    <col min="14385" max="14385" width="0.8984375" style="3" customWidth="1"/>
    <col min="14386" max="14386" width="2.5" style="3" customWidth="1"/>
    <col min="14387" max="14387" width="6.59765625" style="3" customWidth="1"/>
    <col min="14388" max="14388" width="6.5" style="3" customWidth="1"/>
    <col min="14389" max="14389" width="2.5" style="3" customWidth="1"/>
    <col min="14390" max="14390" width="6.09765625" style="3" customWidth="1"/>
    <col min="14391" max="14391" width="1" style="3" customWidth="1"/>
    <col min="14392" max="14392" width="6.09765625" style="3" customWidth="1"/>
    <col min="14393" max="14393" width="1.5" style="3" customWidth="1"/>
    <col min="14394" max="14394" width="0.8984375" style="3" customWidth="1"/>
    <col min="14395" max="14395" width="1.5" style="3" customWidth="1"/>
    <col min="14396" max="14396" width="7.09765625" style="3" customWidth="1"/>
    <col min="14397" max="14397" width="4.59765625" style="3" customWidth="1"/>
    <col min="14398" max="14398" width="16.8984375" style="3" customWidth="1"/>
    <col min="14399" max="14399" width="2" style="3" customWidth="1"/>
    <col min="14400" max="14400" width="5.59765625" style="3" customWidth="1"/>
    <col min="14401" max="14592" width="11" style="3"/>
    <col min="14593" max="14593" width="5" style="3" customWidth="1"/>
    <col min="14594" max="14594" width="9.5" style="3" customWidth="1"/>
    <col min="14595" max="14595" width="9.09765625" style="3" customWidth="1"/>
    <col min="14596" max="14596" width="5.09765625" style="3" customWidth="1"/>
    <col min="14597" max="14597" width="15.09765625" style="3" customWidth="1"/>
    <col min="14598" max="14598" width="1.3984375" style="3" customWidth="1"/>
    <col min="14599" max="14599" width="0.8984375" style="3" customWidth="1"/>
    <col min="14600" max="14600" width="2.5" style="3" customWidth="1"/>
    <col min="14601" max="14601" width="6.59765625" style="3" customWidth="1"/>
    <col min="14602" max="14602" width="6.5" style="3" customWidth="1"/>
    <col min="14603" max="14603" width="2.5" style="3" customWidth="1"/>
    <col min="14604" max="14604" width="6.09765625" style="3" customWidth="1"/>
    <col min="14605" max="14605" width="1" style="3" customWidth="1"/>
    <col min="14606" max="14606" width="6.09765625" style="3" customWidth="1"/>
    <col min="14607" max="14607" width="1.5" style="3" customWidth="1"/>
    <col min="14608" max="14608" width="0.8984375" style="3" customWidth="1"/>
    <col min="14609" max="14609" width="1.5" style="3" customWidth="1"/>
    <col min="14610" max="14610" width="7.09765625" style="3" customWidth="1"/>
    <col min="14611" max="14611" width="5.3984375" style="3" customWidth="1"/>
    <col min="14612" max="14612" width="16.8984375" style="3" customWidth="1"/>
    <col min="14613" max="14613" width="2" style="3" customWidth="1"/>
    <col min="14614" max="14614" width="5.59765625" style="3" customWidth="1"/>
    <col min="14615" max="14615" width="9.5" style="3" customWidth="1"/>
    <col min="14616" max="14616" width="9.09765625" style="3" customWidth="1"/>
    <col min="14617" max="14617" width="5.09765625" style="3" customWidth="1"/>
    <col min="14618" max="14618" width="15.09765625" style="3" customWidth="1"/>
    <col min="14619" max="14619" width="1.3984375" style="3" customWidth="1"/>
    <col min="14620" max="14620" width="0.8984375" style="3" customWidth="1"/>
    <col min="14621" max="14621" width="2.5" style="3" customWidth="1"/>
    <col min="14622" max="14622" width="6.59765625" style="3" customWidth="1"/>
    <col min="14623" max="14623" width="6.5" style="3" customWidth="1"/>
    <col min="14624" max="14624" width="2.5" style="3" customWidth="1"/>
    <col min="14625" max="14625" width="6.09765625" style="3" customWidth="1"/>
    <col min="14626" max="14626" width="1" style="3" customWidth="1"/>
    <col min="14627" max="14627" width="6.09765625" style="3" customWidth="1"/>
    <col min="14628" max="14628" width="1.5" style="3" customWidth="1"/>
    <col min="14629" max="14629" width="0.8984375" style="3" customWidth="1"/>
    <col min="14630" max="14630" width="1.5" style="3" customWidth="1"/>
    <col min="14631" max="14631" width="7.09765625" style="3" customWidth="1"/>
    <col min="14632" max="14632" width="4.59765625" style="3" customWidth="1"/>
    <col min="14633" max="14633" width="16.8984375" style="3" customWidth="1"/>
    <col min="14634" max="14634" width="2" style="3" customWidth="1"/>
    <col min="14635" max="14635" width="5.59765625" style="3" customWidth="1"/>
    <col min="14636" max="14636" width="9.5" style="3" customWidth="1"/>
    <col min="14637" max="14637" width="9.09765625" style="3" customWidth="1"/>
    <col min="14638" max="14638" width="5.09765625" style="3" customWidth="1"/>
    <col min="14639" max="14639" width="15.09765625" style="3" customWidth="1"/>
    <col min="14640" max="14640" width="1.3984375" style="3" customWidth="1"/>
    <col min="14641" max="14641" width="0.8984375" style="3" customWidth="1"/>
    <col min="14642" max="14642" width="2.5" style="3" customWidth="1"/>
    <col min="14643" max="14643" width="6.59765625" style="3" customWidth="1"/>
    <col min="14644" max="14644" width="6.5" style="3" customWidth="1"/>
    <col min="14645" max="14645" width="2.5" style="3" customWidth="1"/>
    <col min="14646" max="14646" width="6.09765625" style="3" customWidth="1"/>
    <col min="14647" max="14647" width="1" style="3" customWidth="1"/>
    <col min="14648" max="14648" width="6.09765625" style="3" customWidth="1"/>
    <col min="14649" max="14649" width="1.5" style="3" customWidth="1"/>
    <col min="14650" max="14650" width="0.8984375" style="3" customWidth="1"/>
    <col min="14651" max="14651" width="1.5" style="3" customWidth="1"/>
    <col min="14652" max="14652" width="7.09765625" style="3" customWidth="1"/>
    <col min="14653" max="14653" width="4.59765625" style="3" customWidth="1"/>
    <col min="14654" max="14654" width="16.8984375" style="3" customWidth="1"/>
    <col min="14655" max="14655" width="2" style="3" customWidth="1"/>
    <col min="14656" max="14656" width="5.59765625" style="3" customWidth="1"/>
    <col min="14657" max="14848" width="11" style="3"/>
    <col min="14849" max="14849" width="5" style="3" customWidth="1"/>
    <col min="14850" max="14850" width="9.5" style="3" customWidth="1"/>
    <col min="14851" max="14851" width="9.09765625" style="3" customWidth="1"/>
    <col min="14852" max="14852" width="5.09765625" style="3" customWidth="1"/>
    <col min="14853" max="14853" width="15.09765625" style="3" customWidth="1"/>
    <col min="14854" max="14854" width="1.3984375" style="3" customWidth="1"/>
    <col min="14855" max="14855" width="0.8984375" style="3" customWidth="1"/>
    <col min="14856" max="14856" width="2.5" style="3" customWidth="1"/>
    <col min="14857" max="14857" width="6.59765625" style="3" customWidth="1"/>
    <col min="14858" max="14858" width="6.5" style="3" customWidth="1"/>
    <col min="14859" max="14859" width="2.5" style="3" customWidth="1"/>
    <col min="14860" max="14860" width="6.09765625" style="3" customWidth="1"/>
    <col min="14861" max="14861" width="1" style="3" customWidth="1"/>
    <col min="14862" max="14862" width="6.09765625" style="3" customWidth="1"/>
    <col min="14863" max="14863" width="1.5" style="3" customWidth="1"/>
    <col min="14864" max="14864" width="0.8984375" style="3" customWidth="1"/>
    <col min="14865" max="14865" width="1.5" style="3" customWidth="1"/>
    <col min="14866" max="14866" width="7.09765625" style="3" customWidth="1"/>
    <col min="14867" max="14867" width="5.3984375" style="3" customWidth="1"/>
    <col min="14868" max="14868" width="16.8984375" style="3" customWidth="1"/>
    <col min="14869" max="14869" width="2" style="3" customWidth="1"/>
    <col min="14870" max="14870" width="5.59765625" style="3" customWidth="1"/>
    <col min="14871" max="14871" width="9.5" style="3" customWidth="1"/>
    <col min="14872" max="14872" width="9.09765625" style="3" customWidth="1"/>
    <col min="14873" max="14873" width="5.09765625" style="3" customWidth="1"/>
    <col min="14874" max="14874" width="15.09765625" style="3" customWidth="1"/>
    <col min="14875" max="14875" width="1.3984375" style="3" customWidth="1"/>
    <col min="14876" max="14876" width="0.8984375" style="3" customWidth="1"/>
    <col min="14877" max="14877" width="2.5" style="3" customWidth="1"/>
    <col min="14878" max="14878" width="6.59765625" style="3" customWidth="1"/>
    <col min="14879" max="14879" width="6.5" style="3" customWidth="1"/>
    <col min="14880" max="14880" width="2.5" style="3" customWidth="1"/>
    <col min="14881" max="14881" width="6.09765625" style="3" customWidth="1"/>
    <col min="14882" max="14882" width="1" style="3" customWidth="1"/>
    <col min="14883" max="14883" width="6.09765625" style="3" customWidth="1"/>
    <col min="14884" max="14884" width="1.5" style="3" customWidth="1"/>
    <col min="14885" max="14885" width="0.8984375" style="3" customWidth="1"/>
    <col min="14886" max="14886" width="1.5" style="3" customWidth="1"/>
    <col min="14887" max="14887" width="7.09765625" style="3" customWidth="1"/>
    <col min="14888" max="14888" width="4.59765625" style="3" customWidth="1"/>
    <col min="14889" max="14889" width="16.8984375" style="3" customWidth="1"/>
    <col min="14890" max="14890" width="2" style="3" customWidth="1"/>
    <col min="14891" max="14891" width="5.59765625" style="3" customWidth="1"/>
    <col min="14892" max="14892" width="9.5" style="3" customWidth="1"/>
    <col min="14893" max="14893" width="9.09765625" style="3" customWidth="1"/>
    <col min="14894" max="14894" width="5.09765625" style="3" customWidth="1"/>
    <col min="14895" max="14895" width="15.09765625" style="3" customWidth="1"/>
    <col min="14896" max="14896" width="1.3984375" style="3" customWidth="1"/>
    <col min="14897" max="14897" width="0.8984375" style="3" customWidth="1"/>
    <col min="14898" max="14898" width="2.5" style="3" customWidth="1"/>
    <col min="14899" max="14899" width="6.59765625" style="3" customWidth="1"/>
    <col min="14900" max="14900" width="6.5" style="3" customWidth="1"/>
    <col min="14901" max="14901" width="2.5" style="3" customWidth="1"/>
    <col min="14902" max="14902" width="6.09765625" style="3" customWidth="1"/>
    <col min="14903" max="14903" width="1" style="3" customWidth="1"/>
    <col min="14904" max="14904" width="6.09765625" style="3" customWidth="1"/>
    <col min="14905" max="14905" width="1.5" style="3" customWidth="1"/>
    <col min="14906" max="14906" width="0.8984375" style="3" customWidth="1"/>
    <col min="14907" max="14907" width="1.5" style="3" customWidth="1"/>
    <col min="14908" max="14908" width="7.09765625" style="3" customWidth="1"/>
    <col min="14909" max="14909" width="4.59765625" style="3" customWidth="1"/>
    <col min="14910" max="14910" width="16.8984375" style="3" customWidth="1"/>
    <col min="14911" max="14911" width="2" style="3" customWidth="1"/>
    <col min="14912" max="14912" width="5.59765625" style="3" customWidth="1"/>
    <col min="14913" max="15104" width="11" style="3"/>
    <col min="15105" max="15105" width="5" style="3" customWidth="1"/>
    <col min="15106" max="15106" width="9.5" style="3" customWidth="1"/>
    <col min="15107" max="15107" width="9.09765625" style="3" customWidth="1"/>
    <col min="15108" max="15108" width="5.09765625" style="3" customWidth="1"/>
    <col min="15109" max="15109" width="15.09765625" style="3" customWidth="1"/>
    <col min="15110" max="15110" width="1.3984375" style="3" customWidth="1"/>
    <col min="15111" max="15111" width="0.8984375" style="3" customWidth="1"/>
    <col min="15112" max="15112" width="2.5" style="3" customWidth="1"/>
    <col min="15113" max="15113" width="6.59765625" style="3" customWidth="1"/>
    <col min="15114" max="15114" width="6.5" style="3" customWidth="1"/>
    <col min="15115" max="15115" width="2.5" style="3" customWidth="1"/>
    <col min="15116" max="15116" width="6.09765625" style="3" customWidth="1"/>
    <col min="15117" max="15117" width="1" style="3" customWidth="1"/>
    <col min="15118" max="15118" width="6.09765625" style="3" customWidth="1"/>
    <col min="15119" max="15119" width="1.5" style="3" customWidth="1"/>
    <col min="15120" max="15120" width="0.8984375" style="3" customWidth="1"/>
    <col min="15121" max="15121" width="1.5" style="3" customWidth="1"/>
    <col min="15122" max="15122" width="7.09765625" style="3" customWidth="1"/>
    <col min="15123" max="15123" width="5.3984375" style="3" customWidth="1"/>
    <col min="15124" max="15124" width="16.8984375" style="3" customWidth="1"/>
    <col min="15125" max="15125" width="2" style="3" customWidth="1"/>
    <col min="15126" max="15126" width="5.59765625" style="3" customWidth="1"/>
    <col min="15127" max="15127" width="9.5" style="3" customWidth="1"/>
    <col min="15128" max="15128" width="9.09765625" style="3" customWidth="1"/>
    <col min="15129" max="15129" width="5.09765625" style="3" customWidth="1"/>
    <col min="15130" max="15130" width="15.09765625" style="3" customWidth="1"/>
    <col min="15131" max="15131" width="1.3984375" style="3" customWidth="1"/>
    <col min="15132" max="15132" width="0.8984375" style="3" customWidth="1"/>
    <col min="15133" max="15133" width="2.5" style="3" customWidth="1"/>
    <col min="15134" max="15134" width="6.59765625" style="3" customWidth="1"/>
    <col min="15135" max="15135" width="6.5" style="3" customWidth="1"/>
    <col min="15136" max="15136" width="2.5" style="3" customWidth="1"/>
    <col min="15137" max="15137" width="6.09765625" style="3" customWidth="1"/>
    <col min="15138" max="15138" width="1" style="3" customWidth="1"/>
    <col min="15139" max="15139" width="6.09765625" style="3" customWidth="1"/>
    <col min="15140" max="15140" width="1.5" style="3" customWidth="1"/>
    <col min="15141" max="15141" width="0.8984375" style="3" customWidth="1"/>
    <col min="15142" max="15142" width="1.5" style="3" customWidth="1"/>
    <col min="15143" max="15143" width="7.09765625" style="3" customWidth="1"/>
    <col min="15144" max="15144" width="4.59765625" style="3" customWidth="1"/>
    <col min="15145" max="15145" width="16.8984375" style="3" customWidth="1"/>
    <col min="15146" max="15146" width="2" style="3" customWidth="1"/>
    <col min="15147" max="15147" width="5.59765625" style="3" customWidth="1"/>
    <col min="15148" max="15148" width="9.5" style="3" customWidth="1"/>
    <col min="15149" max="15149" width="9.09765625" style="3" customWidth="1"/>
    <col min="15150" max="15150" width="5.09765625" style="3" customWidth="1"/>
    <col min="15151" max="15151" width="15.09765625" style="3" customWidth="1"/>
    <col min="15152" max="15152" width="1.3984375" style="3" customWidth="1"/>
    <col min="15153" max="15153" width="0.8984375" style="3" customWidth="1"/>
    <col min="15154" max="15154" width="2.5" style="3" customWidth="1"/>
    <col min="15155" max="15155" width="6.59765625" style="3" customWidth="1"/>
    <col min="15156" max="15156" width="6.5" style="3" customWidth="1"/>
    <col min="15157" max="15157" width="2.5" style="3" customWidth="1"/>
    <col min="15158" max="15158" width="6.09765625" style="3" customWidth="1"/>
    <col min="15159" max="15159" width="1" style="3" customWidth="1"/>
    <col min="15160" max="15160" width="6.09765625" style="3" customWidth="1"/>
    <col min="15161" max="15161" width="1.5" style="3" customWidth="1"/>
    <col min="15162" max="15162" width="0.8984375" style="3" customWidth="1"/>
    <col min="15163" max="15163" width="1.5" style="3" customWidth="1"/>
    <col min="15164" max="15164" width="7.09765625" style="3" customWidth="1"/>
    <col min="15165" max="15165" width="4.59765625" style="3" customWidth="1"/>
    <col min="15166" max="15166" width="16.8984375" style="3" customWidth="1"/>
    <col min="15167" max="15167" width="2" style="3" customWidth="1"/>
    <col min="15168" max="15168" width="5.59765625" style="3" customWidth="1"/>
    <col min="15169" max="15360" width="11" style="3"/>
    <col min="15361" max="15361" width="5" style="3" customWidth="1"/>
    <col min="15362" max="15362" width="9.5" style="3" customWidth="1"/>
    <col min="15363" max="15363" width="9.09765625" style="3" customWidth="1"/>
    <col min="15364" max="15364" width="5.09765625" style="3" customWidth="1"/>
    <col min="15365" max="15365" width="15.09765625" style="3" customWidth="1"/>
    <col min="15366" max="15366" width="1.3984375" style="3" customWidth="1"/>
    <col min="15367" max="15367" width="0.8984375" style="3" customWidth="1"/>
    <col min="15368" max="15368" width="2.5" style="3" customWidth="1"/>
    <col min="15369" max="15369" width="6.59765625" style="3" customWidth="1"/>
    <col min="15370" max="15370" width="6.5" style="3" customWidth="1"/>
    <col min="15371" max="15371" width="2.5" style="3" customWidth="1"/>
    <col min="15372" max="15372" width="6.09765625" style="3" customWidth="1"/>
    <col min="15373" max="15373" width="1" style="3" customWidth="1"/>
    <col min="15374" max="15374" width="6.09765625" style="3" customWidth="1"/>
    <col min="15375" max="15375" width="1.5" style="3" customWidth="1"/>
    <col min="15376" max="15376" width="0.8984375" style="3" customWidth="1"/>
    <col min="15377" max="15377" width="1.5" style="3" customWidth="1"/>
    <col min="15378" max="15378" width="7.09765625" style="3" customWidth="1"/>
    <col min="15379" max="15379" width="5.3984375" style="3" customWidth="1"/>
    <col min="15380" max="15380" width="16.8984375" style="3" customWidth="1"/>
    <col min="15381" max="15381" width="2" style="3" customWidth="1"/>
    <col min="15382" max="15382" width="5.59765625" style="3" customWidth="1"/>
    <col min="15383" max="15383" width="9.5" style="3" customWidth="1"/>
    <col min="15384" max="15384" width="9.09765625" style="3" customWidth="1"/>
    <col min="15385" max="15385" width="5.09765625" style="3" customWidth="1"/>
    <col min="15386" max="15386" width="15.09765625" style="3" customWidth="1"/>
    <col min="15387" max="15387" width="1.3984375" style="3" customWidth="1"/>
    <col min="15388" max="15388" width="0.8984375" style="3" customWidth="1"/>
    <col min="15389" max="15389" width="2.5" style="3" customWidth="1"/>
    <col min="15390" max="15390" width="6.59765625" style="3" customWidth="1"/>
    <col min="15391" max="15391" width="6.5" style="3" customWidth="1"/>
    <col min="15392" max="15392" width="2.5" style="3" customWidth="1"/>
    <col min="15393" max="15393" width="6.09765625" style="3" customWidth="1"/>
    <col min="15394" max="15394" width="1" style="3" customWidth="1"/>
    <col min="15395" max="15395" width="6.09765625" style="3" customWidth="1"/>
    <col min="15396" max="15396" width="1.5" style="3" customWidth="1"/>
    <col min="15397" max="15397" width="0.8984375" style="3" customWidth="1"/>
    <col min="15398" max="15398" width="1.5" style="3" customWidth="1"/>
    <col min="15399" max="15399" width="7.09765625" style="3" customWidth="1"/>
    <col min="15400" max="15400" width="4.59765625" style="3" customWidth="1"/>
    <col min="15401" max="15401" width="16.8984375" style="3" customWidth="1"/>
    <col min="15402" max="15402" width="2" style="3" customWidth="1"/>
    <col min="15403" max="15403" width="5.59765625" style="3" customWidth="1"/>
    <col min="15404" max="15404" width="9.5" style="3" customWidth="1"/>
    <col min="15405" max="15405" width="9.09765625" style="3" customWidth="1"/>
    <col min="15406" max="15406" width="5.09765625" style="3" customWidth="1"/>
    <col min="15407" max="15407" width="15.09765625" style="3" customWidth="1"/>
    <col min="15408" max="15408" width="1.3984375" style="3" customWidth="1"/>
    <col min="15409" max="15409" width="0.8984375" style="3" customWidth="1"/>
    <col min="15410" max="15410" width="2.5" style="3" customWidth="1"/>
    <col min="15411" max="15411" width="6.59765625" style="3" customWidth="1"/>
    <col min="15412" max="15412" width="6.5" style="3" customWidth="1"/>
    <col min="15413" max="15413" width="2.5" style="3" customWidth="1"/>
    <col min="15414" max="15414" width="6.09765625" style="3" customWidth="1"/>
    <col min="15415" max="15415" width="1" style="3" customWidth="1"/>
    <col min="15416" max="15416" width="6.09765625" style="3" customWidth="1"/>
    <col min="15417" max="15417" width="1.5" style="3" customWidth="1"/>
    <col min="15418" max="15418" width="0.8984375" style="3" customWidth="1"/>
    <col min="15419" max="15419" width="1.5" style="3" customWidth="1"/>
    <col min="15420" max="15420" width="7.09765625" style="3" customWidth="1"/>
    <col min="15421" max="15421" width="4.59765625" style="3" customWidth="1"/>
    <col min="15422" max="15422" width="16.8984375" style="3" customWidth="1"/>
    <col min="15423" max="15423" width="2" style="3" customWidth="1"/>
    <col min="15424" max="15424" width="5.59765625" style="3" customWidth="1"/>
    <col min="15425" max="15616" width="11" style="3"/>
    <col min="15617" max="15617" width="5" style="3" customWidth="1"/>
    <col min="15618" max="15618" width="9.5" style="3" customWidth="1"/>
    <col min="15619" max="15619" width="9.09765625" style="3" customWidth="1"/>
    <col min="15620" max="15620" width="5.09765625" style="3" customWidth="1"/>
    <col min="15621" max="15621" width="15.09765625" style="3" customWidth="1"/>
    <col min="15622" max="15622" width="1.3984375" style="3" customWidth="1"/>
    <col min="15623" max="15623" width="0.8984375" style="3" customWidth="1"/>
    <col min="15624" max="15624" width="2.5" style="3" customWidth="1"/>
    <col min="15625" max="15625" width="6.59765625" style="3" customWidth="1"/>
    <col min="15626" max="15626" width="6.5" style="3" customWidth="1"/>
    <col min="15627" max="15627" width="2.5" style="3" customWidth="1"/>
    <col min="15628" max="15628" width="6.09765625" style="3" customWidth="1"/>
    <col min="15629" max="15629" width="1" style="3" customWidth="1"/>
    <col min="15630" max="15630" width="6.09765625" style="3" customWidth="1"/>
    <col min="15631" max="15631" width="1.5" style="3" customWidth="1"/>
    <col min="15632" max="15632" width="0.8984375" style="3" customWidth="1"/>
    <col min="15633" max="15633" width="1.5" style="3" customWidth="1"/>
    <col min="15634" max="15634" width="7.09765625" style="3" customWidth="1"/>
    <col min="15635" max="15635" width="5.3984375" style="3" customWidth="1"/>
    <col min="15636" max="15636" width="16.8984375" style="3" customWidth="1"/>
    <col min="15637" max="15637" width="2" style="3" customWidth="1"/>
    <col min="15638" max="15638" width="5.59765625" style="3" customWidth="1"/>
    <col min="15639" max="15639" width="9.5" style="3" customWidth="1"/>
    <col min="15640" max="15640" width="9.09765625" style="3" customWidth="1"/>
    <col min="15641" max="15641" width="5.09765625" style="3" customWidth="1"/>
    <col min="15642" max="15642" width="15.09765625" style="3" customWidth="1"/>
    <col min="15643" max="15643" width="1.3984375" style="3" customWidth="1"/>
    <col min="15644" max="15644" width="0.8984375" style="3" customWidth="1"/>
    <col min="15645" max="15645" width="2.5" style="3" customWidth="1"/>
    <col min="15646" max="15646" width="6.59765625" style="3" customWidth="1"/>
    <col min="15647" max="15647" width="6.5" style="3" customWidth="1"/>
    <col min="15648" max="15648" width="2.5" style="3" customWidth="1"/>
    <col min="15649" max="15649" width="6.09765625" style="3" customWidth="1"/>
    <col min="15650" max="15650" width="1" style="3" customWidth="1"/>
    <col min="15651" max="15651" width="6.09765625" style="3" customWidth="1"/>
    <col min="15652" max="15652" width="1.5" style="3" customWidth="1"/>
    <col min="15653" max="15653" width="0.8984375" style="3" customWidth="1"/>
    <col min="15654" max="15654" width="1.5" style="3" customWidth="1"/>
    <col min="15655" max="15655" width="7.09765625" style="3" customWidth="1"/>
    <col min="15656" max="15656" width="4.59765625" style="3" customWidth="1"/>
    <col min="15657" max="15657" width="16.8984375" style="3" customWidth="1"/>
    <col min="15658" max="15658" width="2" style="3" customWidth="1"/>
    <col min="15659" max="15659" width="5.59765625" style="3" customWidth="1"/>
    <col min="15660" max="15660" width="9.5" style="3" customWidth="1"/>
    <col min="15661" max="15661" width="9.09765625" style="3" customWidth="1"/>
    <col min="15662" max="15662" width="5.09765625" style="3" customWidth="1"/>
    <col min="15663" max="15663" width="15.09765625" style="3" customWidth="1"/>
    <col min="15664" max="15664" width="1.3984375" style="3" customWidth="1"/>
    <col min="15665" max="15665" width="0.8984375" style="3" customWidth="1"/>
    <col min="15666" max="15666" width="2.5" style="3" customWidth="1"/>
    <col min="15667" max="15667" width="6.59765625" style="3" customWidth="1"/>
    <col min="15668" max="15668" width="6.5" style="3" customWidth="1"/>
    <col min="15669" max="15669" width="2.5" style="3" customWidth="1"/>
    <col min="15670" max="15670" width="6.09765625" style="3" customWidth="1"/>
    <col min="15671" max="15671" width="1" style="3" customWidth="1"/>
    <col min="15672" max="15672" width="6.09765625" style="3" customWidth="1"/>
    <col min="15673" max="15673" width="1.5" style="3" customWidth="1"/>
    <col min="15674" max="15674" width="0.8984375" style="3" customWidth="1"/>
    <col min="15675" max="15675" width="1.5" style="3" customWidth="1"/>
    <col min="15676" max="15676" width="7.09765625" style="3" customWidth="1"/>
    <col min="15677" max="15677" width="4.59765625" style="3" customWidth="1"/>
    <col min="15678" max="15678" width="16.8984375" style="3" customWidth="1"/>
    <col min="15679" max="15679" width="2" style="3" customWidth="1"/>
    <col min="15680" max="15680" width="5.59765625" style="3" customWidth="1"/>
    <col min="15681" max="15872" width="11" style="3"/>
    <col min="15873" max="15873" width="5" style="3" customWidth="1"/>
    <col min="15874" max="15874" width="9.5" style="3" customWidth="1"/>
    <col min="15875" max="15875" width="9.09765625" style="3" customWidth="1"/>
    <col min="15876" max="15876" width="5.09765625" style="3" customWidth="1"/>
    <col min="15877" max="15877" width="15.09765625" style="3" customWidth="1"/>
    <col min="15878" max="15878" width="1.3984375" style="3" customWidth="1"/>
    <col min="15879" max="15879" width="0.8984375" style="3" customWidth="1"/>
    <col min="15880" max="15880" width="2.5" style="3" customWidth="1"/>
    <col min="15881" max="15881" width="6.59765625" style="3" customWidth="1"/>
    <col min="15882" max="15882" width="6.5" style="3" customWidth="1"/>
    <col min="15883" max="15883" width="2.5" style="3" customWidth="1"/>
    <col min="15884" max="15884" width="6.09765625" style="3" customWidth="1"/>
    <col min="15885" max="15885" width="1" style="3" customWidth="1"/>
    <col min="15886" max="15886" width="6.09765625" style="3" customWidth="1"/>
    <col min="15887" max="15887" width="1.5" style="3" customWidth="1"/>
    <col min="15888" max="15888" width="0.8984375" style="3" customWidth="1"/>
    <col min="15889" max="15889" width="1.5" style="3" customWidth="1"/>
    <col min="15890" max="15890" width="7.09765625" style="3" customWidth="1"/>
    <col min="15891" max="15891" width="5.3984375" style="3" customWidth="1"/>
    <col min="15892" max="15892" width="16.8984375" style="3" customWidth="1"/>
    <col min="15893" max="15893" width="2" style="3" customWidth="1"/>
    <col min="15894" max="15894" width="5.59765625" style="3" customWidth="1"/>
    <col min="15895" max="15895" width="9.5" style="3" customWidth="1"/>
    <col min="15896" max="15896" width="9.09765625" style="3" customWidth="1"/>
    <col min="15897" max="15897" width="5.09765625" style="3" customWidth="1"/>
    <col min="15898" max="15898" width="15.09765625" style="3" customWidth="1"/>
    <col min="15899" max="15899" width="1.3984375" style="3" customWidth="1"/>
    <col min="15900" max="15900" width="0.8984375" style="3" customWidth="1"/>
    <col min="15901" max="15901" width="2.5" style="3" customWidth="1"/>
    <col min="15902" max="15902" width="6.59765625" style="3" customWidth="1"/>
    <col min="15903" max="15903" width="6.5" style="3" customWidth="1"/>
    <col min="15904" max="15904" width="2.5" style="3" customWidth="1"/>
    <col min="15905" max="15905" width="6.09765625" style="3" customWidth="1"/>
    <col min="15906" max="15906" width="1" style="3" customWidth="1"/>
    <col min="15907" max="15907" width="6.09765625" style="3" customWidth="1"/>
    <col min="15908" max="15908" width="1.5" style="3" customWidth="1"/>
    <col min="15909" max="15909" width="0.8984375" style="3" customWidth="1"/>
    <col min="15910" max="15910" width="1.5" style="3" customWidth="1"/>
    <col min="15911" max="15911" width="7.09765625" style="3" customWidth="1"/>
    <col min="15912" max="15912" width="4.59765625" style="3" customWidth="1"/>
    <col min="15913" max="15913" width="16.8984375" style="3" customWidth="1"/>
    <col min="15914" max="15914" width="2" style="3" customWidth="1"/>
    <col min="15915" max="15915" width="5.59765625" style="3" customWidth="1"/>
    <col min="15916" max="15916" width="9.5" style="3" customWidth="1"/>
    <col min="15917" max="15917" width="9.09765625" style="3" customWidth="1"/>
    <col min="15918" max="15918" width="5.09765625" style="3" customWidth="1"/>
    <col min="15919" max="15919" width="15.09765625" style="3" customWidth="1"/>
    <col min="15920" max="15920" width="1.3984375" style="3" customWidth="1"/>
    <col min="15921" max="15921" width="0.8984375" style="3" customWidth="1"/>
    <col min="15922" max="15922" width="2.5" style="3" customWidth="1"/>
    <col min="15923" max="15923" width="6.59765625" style="3" customWidth="1"/>
    <col min="15924" max="15924" width="6.5" style="3" customWidth="1"/>
    <col min="15925" max="15925" width="2.5" style="3" customWidth="1"/>
    <col min="15926" max="15926" width="6.09765625" style="3" customWidth="1"/>
    <col min="15927" max="15927" width="1" style="3" customWidth="1"/>
    <col min="15928" max="15928" width="6.09765625" style="3" customWidth="1"/>
    <col min="15929" max="15929" width="1.5" style="3" customWidth="1"/>
    <col min="15930" max="15930" width="0.8984375" style="3" customWidth="1"/>
    <col min="15931" max="15931" width="1.5" style="3" customWidth="1"/>
    <col min="15932" max="15932" width="7.09765625" style="3" customWidth="1"/>
    <col min="15933" max="15933" width="4.59765625" style="3" customWidth="1"/>
    <col min="15934" max="15934" width="16.8984375" style="3" customWidth="1"/>
    <col min="15935" max="15935" width="2" style="3" customWidth="1"/>
    <col min="15936" max="15936" width="5.59765625" style="3" customWidth="1"/>
    <col min="15937" max="16128" width="11" style="3"/>
    <col min="16129" max="16129" width="5" style="3" customWidth="1"/>
    <col min="16130" max="16130" width="9.5" style="3" customWidth="1"/>
    <col min="16131" max="16131" width="9.09765625" style="3" customWidth="1"/>
    <col min="16132" max="16132" width="5.09765625" style="3" customWidth="1"/>
    <col min="16133" max="16133" width="15.09765625" style="3" customWidth="1"/>
    <col min="16134" max="16134" width="1.3984375" style="3" customWidth="1"/>
    <col min="16135" max="16135" width="0.8984375" style="3" customWidth="1"/>
    <col min="16136" max="16136" width="2.5" style="3" customWidth="1"/>
    <col min="16137" max="16137" width="6.59765625" style="3" customWidth="1"/>
    <col min="16138" max="16138" width="6.5" style="3" customWidth="1"/>
    <col min="16139" max="16139" width="2.5" style="3" customWidth="1"/>
    <col min="16140" max="16140" width="6.09765625" style="3" customWidth="1"/>
    <col min="16141" max="16141" width="1" style="3" customWidth="1"/>
    <col min="16142" max="16142" width="6.09765625" style="3" customWidth="1"/>
    <col min="16143" max="16143" width="1.5" style="3" customWidth="1"/>
    <col min="16144" max="16144" width="0.8984375" style="3" customWidth="1"/>
    <col min="16145" max="16145" width="1.5" style="3" customWidth="1"/>
    <col min="16146" max="16146" width="7.09765625" style="3" customWidth="1"/>
    <col min="16147" max="16147" width="5.3984375" style="3" customWidth="1"/>
    <col min="16148" max="16148" width="16.8984375" style="3" customWidth="1"/>
    <col min="16149" max="16149" width="2" style="3" customWidth="1"/>
    <col min="16150" max="16150" width="5.59765625" style="3" customWidth="1"/>
    <col min="16151" max="16151" width="9.5" style="3" customWidth="1"/>
    <col min="16152" max="16152" width="9.09765625" style="3" customWidth="1"/>
    <col min="16153" max="16153" width="5.09765625" style="3" customWidth="1"/>
    <col min="16154" max="16154" width="15.09765625" style="3" customWidth="1"/>
    <col min="16155" max="16155" width="1.3984375" style="3" customWidth="1"/>
    <col min="16156" max="16156" width="0.8984375" style="3" customWidth="1"/>
    <col min="16157" max="16157" width="2.5" style="3" customWidth="1"/>
    <col min="16158" max="16158" width="6.59765625" style="3" customWidth="1"/>
    <col min="16159" max="16159" width="6.5" style="3" customWidth="1"/>
    <col min="16160" max="16160" width="2.5" style="3" customWidth="1"/>
    <col min="16161" max="16161" width="6.09765625" style="3" customWidth="1"/>
    <col min="16162" max="16162" width="1" style="3" customWidth="1"/>
    <col min="16163" max="16163" width="6.09765625" style="3" customWidth="1"/>
    <col min="16164" max="16164" width="1.5" style="3" customWidth="1"/>
    <col min="16165" max="16165" width="0.8984375" style="3" customWidth="1"/>
    <col min="16166" max="16166" width="1.5" style="3" customWidth="1"/>
    <col min="16167" max="16167" width="7.09765625" style="3" customWidth="1"/>
    <col min="16168" max="16168" width="4.59765625" style="3" customWidth="1"/>
    <col min="16169" max="16169" width="16.8984375" style="3" customWidth="1"/>
    <col min="16170" max="16170" width="2" style="3" customWidth="1"/>
    <col min="16171" max="16171" width="5.59765625" style="3" customWidth="1"/>
    <col min="16172" max="16172" width="9.5" style="3" customWidth="1"/>
    <col min="16173" max="16173" width="9.09765625" style="3" customWidth="1"/>
    <col min="16174" max="16174" width="5.09765625" style="3" customWidth="1"/>
    <col min="16175" max="16175" width="15.09765625" style="3" customWidth="1"/>
    <col min="16176" max="16176" width="1.3984375" style="3" customWidth="1"/>
    <col min="16177" max="16177" width="0.8984375" style="3" customWidth="1"/>
    <col min="16178" max="16178" width="2.5" style="3" customWidth="1"/>
    <col min="16179" max="16179" width="6.59765625" style="3" customWidth="1"/>
    <col min="16180" max="16180" width="6.5" style="3" customWidth="1"/>
    <col min="16181" max="16181" width="2.5" style="3" customWidth="1"/>
    <col min="16182" max="16182" width="6.09765625" style="3" customWidth="1"/>
    <col min="16183" max="16183" width="1" style="3" customWidth="1"/>
    <col min="16184" max="16184" width="6.09765625" style="3" customWidth="1"/>
    <col min="16185" max="16185" width="1.5" style="3" customWidth="1"/>
    <col min="16186" max="16186" width="0.8984375" style="3" customWidth="1"/>
    <col min="16187" max="16187" width="1.5" style="3" customWidth="1"/>
    <col min="16188" max="16188" width="7.09765625" style="3" customWidth="1"/>
    <col min="16189" max="16189" width="4.59765625" style="3" customWidth="1"/>
    <col min="16190" max="16190" width="16.8984375" style="3" customWidth="1"/>
    <col min="16191" max="16191" width="2" style="3" customWidth="1"/>
    <col min="16192" max="16192" width="5.59765625" style="3" customWidth="1"/>
    <col min="16193" max="16384" width="11" style="3"/>
  </cols>
  <sheetData>
    <row r="1" spans="1:64" ht="26.2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x14ac:dyDescent="0.25">
      <c r="A2" s="1"/>
      <c r="V2" s="2"/>
      <c r="AQ2" s="2"/>
      <c r="BL2" s="2"/>
    </row>
    <row r="3" spans="1:64" ht="25.2" x14ac:dyDescent="0.25">
      <c r="A3" s="1"/>
      <c r="E3" s="4" t="s">
        <v>0</v>
      </c>
      <c r="T3" s="5" t="s">
        <v>1</v>
      </c>
      <c r="V3" s="2"/>
      <c r="Z3" s="6" t="str">
        <f>IF(E3=0,"",E3)</f>
        <v>บริษัท กวิน บราเธอร์ส จำกัด</v>
      </c>
      <c r="AO3" s="5" t="s">
        <v>2</v>
      </c>
      <c r="AQ3" s="2"/>
      <c r="AU3" s="6" t="str">
        <f>IF(Z3=0,"",Z3)</f>
        <v>บริษัท กวิน บราเธอร์ส จำกัด</v>
      </c>
      <c r="BJ3" s="5" t="s">
        <v>3</v>
      </c>
      <c r="BL3" s="2"/>
    </row>
    <row r="4" spans="1:64" ht="25.2" x14ac:dyDescent="0.25">
      <c r="A4" s="1"/>
      <c r="E4" s="4" t="s">
        <v>4</v>
      </c>
      <c r="T4" s="7"/>
      <c r="V4" s="2"/>
      <c r="Z4" s="6" t="str">
        <f>IF(E4=0,"",E4)</f>
        <v>Kawin Brothers Co.,Ltd.</v>
      </c>
      <c r="AO4" s="8"/>
      <c r="AQ4" s="2"/>
      <c r="AU4" s="6" t="str">
        <f>IF(Z4=0,"",Z4)</f>
        <v>Kawin Brothers Co.,Ltd.</v>
      </c>
      <c r="BJ4" s="8"/>
      <c r="BL4" s="2"/>
    </row>
    <row r="5" spans="1:64" x14ac:dyDescent="0.25">
      <c r="A5" s="1"/>
      <c r="E5" s="9" t="s">
        <v>5</v>
      </c>
      <c r="V5" s="2"/>
      <c r="Z5" s="10" t="str">
        <f>IF(E5=0,"",E5)</f>
        <v>สำนักงานใหญ่ : 88/6-7 ซอยกาญจนาภิเษก 0010 แยก 2 ถนนกาญจนาภิเษก แขวงบางแค เขตบางแค กรุงเทพฯ 10160</v>
      </c>
      <c r="AQ5" s="2"/>
      <c r="AU5" s="10" t="str">
        <f>IF(Z5=0,"",Z5)</f>
        <v>สำนักงานใหญ่ : 88/6-7 ซอยกาญจนาภิเษก 0010 แยก 2 ถนนกาญจนาภิเษก แขวงบางแค เขตบางแค กรุงเทพฯ 10160</v>
      </c>
      <c r="BL5" s="2"/>
    </row>
    <row r="6" spans="1:64" x14ac:dyDescent="0.25">
      <c r="A6" s="1"/>
      <c r="E6" s="9" t="s">
        <v>6</v>
      </c>
      <c r="V6" s="2"/>
      <c r="Z6" s="10" t="str">
        <f>IF(E6=0,"",E6)</f>
        <v>Head Office  : 88/6-7 soi Kanchanaphisek 0010 yeak 2 Kanchanaphisek Road</v>
      </c>
      <c r="AQ6" s="2"/>
      <c r="AU6" s="10" t="str">
        <f>IF(Z6=0,"",Z6)</f>
        <v>Head Office  : 88/6-7 soi Kanchanaphisek 0010 yeak 2 Kanchanaphisek Road</v>
      </c>
      <c r="BL6" s="2"/>
    </row>
    <row r="7" spans="1:64" x14ac:dyDescent="0.25">
      <c r="A7" s="1"/>
      <c r="E7" s="9" t="s">
        <v>7</v>
      </c>
      <c r="V7" s="2"/>
      <c r="Z7" s="10" t="str">
        <f>IF(E7=0,"",E7)</f>
        <v>,Bang Khae Subdistrict, Bang Khae District ,Bangkok Postal code10160</v>
      </c>
      <c r="AQ7" s="2"/>
      <c r="AU7" s="10" t="str">
        <f>IF(Z7=0,"",Z7)</f>
        <v>,Bang Khae Subdistrict, Bang Khae District ,Bangkok Postal code10160</v>
      </c>
      <c r="BL7" s="2"/>
    </row>
    <row r="8" spans="1:64" x14ac:dyDescent="0.25">
      <c r="A8" s="1"/>
      <c r="E8" s="9" t="s">
        <v>8</v>
      </c>
      <c r="V8" s="2"/>
      <c r="Z8" s="9" t="s">
        <v>8</v>
      </c>
      <c r="AQ8" s="2"/>
      <c r="AU8" s="9" t="s">
        <v>8</v>
      </c>
      <c r="BL8" s="2"/>
    </row>
    <row r="9" spans="1:64" x14ac:dyDescent="0.25">
      <c r="A9" s="1"/>
      <c r="V9" s="2"/>
      <c r="AQ9" s="2"/>
      <c r="BL9" s="2"/>
    </row>
    <row r="10" spans="1:64" s="13" customFormat="1" ht="19.2" x14ac:dyDescent="0.35">
      <c r="A10" s="11"/>
      <c r="B10" s="79" t="s">
        <v>9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12"/>
      <c r="W10" s="79" t="s">
        <v>10</v>
      </c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12"/>
      <c r="AR10" s="79" t="s">
        <v>10</v>
      </c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12"/>
    </row>
    <row r="11" spans="1:64" s="17" customFormat="1" ht="19.2" x14ac:dyDescent="0.25">
      <c r="A11" s="14"/>
      <c r="B11" s="80" t="s">
        <v>11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15"/>
      <c r="V11" s="16"/>
      <c r="W11" s="80" t="s">
        <v>12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15"/>
      <c r="AQ11" s="16"/>
      <c r="AR11" s="80" t="s">
        <v>12</v>
      </c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15"/>
      <c r="BL11" s="16"/>
    </row>
    <row r="12" spans="1:64" ht="15.75" customHeight="1" x14ac:dyDescent="0.25">
      <c r="A12" s="1"/>
      <c r="V12" s="2"/>
      <c r="AQ12" s="2"/>
      <c r="BL12" s="2"/>
    </row>
    <row r="13" spans="1:64" x14ac:dyDescent="0.25">
      <c r="A13" s="1"/>
      <c r="B13" s="18" t="s">
        <v>13</v>
      </c>
      <c r="C13" s="19"/>
      <c r="D13" s="19"/>
      <c r="E13" s="19"/>
      <c r="F13" s="19"/>
      <c r="G13" s="19"/>
      <c r="H13" s="19"/>
      <c r="S13" s="20" t="s">
        <v>14</v>
      </c>
      <c r="T13" s="21"/>
      <c r="V13" s="2"/>
      <c r="W13" s="18" t="s">
        <v>13</v>
      </c>
      <c r="X13" s="75" t="str">
        <f>IF(C13=0,"",C13)</f>
        <v/>
      </c>
      <c r="Y13" s="75"/>
      <c r="Z13" s="75"/>
      <c r="AA13" s="75"/>
      <c r="AB13" s="75"/>
      <c r="AC13" s="75"/>
      <c r="AN13" s="20" t="s">
        <v>14</v>
      </c>
      <c r="AO13" s="22" t="str">
        <f>IF(T13=0,"",T13)</f>
        <v/>
      </c>
      <c r="AQ13" s="2"/>
      <c r="AR13" s="18" t="s">
        <v>13</v>
      </c>
      <c r="AS13" s="75" t="str">
        <f>IF(C13=0,"",C13)</f>
        <v/>
      </c>
      <c r="AT13" s="75"/>
      <c r="AU13" s="75"/>
      <c r="AV13" s="75"/>
      <c r="AW13" s="75"/>
      <c r="AX13" s="75"/>
      <c r="BI13" s="20" t="s">
        <v>14</v>
      </c>
      <c r="BJ13" s="22" t="str">
        <f>IF(T13=0,"",T13)</f>
        <v/>
      </c>
      <c r="BL13" s="2"/>
    </row>
    <row r="14" spans="1:64" x14ac:dyDescent="0.25">
      <c r="A14" s="1"/>
      <c r="B14" s="18" t="s">
        <v>15</v>
      </c>
      <c r="C14" s="19"/>
      <c r="D14" s="19"/>
      <c r="E14" s="19"/>
      <c r="F14" s="19"/>
      <c r="G14" s="19"/>
      <c r="H14" s="19"/>
      <c r="S14" s="20" t="s">
        <v>16</v>
      </c>
      <c r="T14" s="23"/>
      <c r="V14" s="2"/>
      <c r="W14" s="18" t="s">
        <v>15</v>
      </c>
      <c r="X14" s="19" t="str">
        <f>IF(C14=0,"",C14)</f>
        <v/>
      </c>
      <c r="Y14" s="19"/>
      <c r="Z14" s="19"/>
      <c r="AA14" s="19"/>
      <c r="AB14" s="19"/>
      <c r="AC14" s="19"/>
      <c r="AN14" s="20" t="s">
        <v>16</v>
      </c>
      <c r="AO14" s="24" t="str">
        <f>IF(T14=0,"",T14)</f>
        <v/>
      </c>
      <c r="AQ14" s="2"/>
      <c r="AR14" s="18" t="s">
        <v>15</v>
      </c>
      <c r="AS14" s="19" t="str">
        <f>IF(C14=0,"",C14)</f>
        <v/>
      </c>
      <c r="AT14" s="19"/>
      <c r="AU14" s="19"/>
      <c r="AV14" s="19"/>
      <c r="AW14" s="19"/>
      <c r="AX14" s="19"/>
      <c r="BI14" s="20" t="s">
        <v>16</v>
      </c>
      <c r="BJ14" s="24" t="str">
        <f>IF(T14=0,"",T14)</f>
        <v/>
      </c>
      <c r="BL14" s="2"/>
    </row>
    <row r="15" spans="1:64" x14ac:dyDescent="0.25">
      <c r="A15" s="1"/>
      <c r="B15" s="18"/>
      <c r="C15" s="19"/>
      <c r="D15" s="19"/>
      <c r="E15" s="19"/>
      <c r="F15" s="19"/>
      <c r="G15" s="19"/>
      <c r="H15" s="19"/>
      <c r="R15" s="25"/>
      <c r="T15" s="26"/>
      <c r="V15" s="2"/>
      <c r="W15" s="18"/>
      <c r="X15" s="76" t="str">
        <f>IF(C15=0,"",C15)</f>
        <v/>
      </c>
      <c r="Y15" s="76"/>
      <c r="Z15" s="76"/>
      <c r="AA15" s="76"/>
      <c r="AB15" s="76"/>
      <c r="AC15" s="76"/>
      <c r="AM15" s="25"/>
      <c r="AN15" s="27"/>
      <c r="AO15" s="26"/>
      <c r="AQ15" s="2"/>
      <c r="AR15" s="18"/>
      <c r="AS15" s="76" t="str">
        <f>IF(C15=0,"",C15)</f>
        <v/>
      </c>
      <c r="AT15" s="76"/>
      <c r="AU15" s="76"/>
      <c r="AV15" s="76"/>
      <c r="AW15" s="76"/>
      <c r="AX15" s="76"/>
      <c r="BH15" s="25"/>
      <c r="BI15" s="27"/>
      <c r="BJ15" s="26"/>
      <c r="BL15" s="2"/>
    </row>
    <row r="16" spans="1:64" ht="3" customHeight="1" x14ac:dyDescent="0.25">
      <c r="A16" s="1"/>
      <c r="B16" s="18"/>
      <c r="V16" s="2"/>
      <c r="W16" s="18"/>
      <c r="AQ16" s="2"/>
      <c r="AR16" s="18"/>
      <c r="BL16" s="2"/>
    </row>
    <row r="17" spans="1:64" ht="15.75" customHeight="1" thickBot="1" x14ac:dyDescent="0.3">
      <c r="A17" s="1"/>
      <c r="B17" s="18" t="s">
        <v>17</v>
      </c>
      <c r="D17" s="77"/>
      <c r="E17" s="77"/>
      <c r="F17" s="28"/>
      <c r="H17" s="29"/>
      <c r="I17" s="3" t="s">
        <v>18</v>
      </c>
      <c r="K17" s="29"/>
      <c r="L17" s="3" t="s">
        <v>19</v>
      </c>
      <c r="N17" s="30"/>
      <c r="S17" s="20"/>
      <c r="V17" s="2"/>
      <c r="W17" s="18" t="s">
        <v>17</v>
      </c>
      <c r="Y17" s="78" t="str">
        <f>IF(D17=0,"",D17)</f>
        <v/>
      </c>
      <c r="Z17" s="78"/>
      <c r="AA17" s="31"/>
      <c r="AC17" s="32" t="str">
        <f>IF(H17=0,"",H17)</f>
        <v/>
      </c>
      <c r="AD17" s="3" t="s">
        <v>18</v>
      </c>
      <c r="AF17" s="32" t="str">
        <f>IF(K17=0,"",K17)</f>
        <v/>
      </c>
      <c r="AG17" s="3" t="s">
        <v>19</v>
      </c>
      <c r="AI17" s="33" t="str">
        <f>IF(N17=0,"",N17)</f>
        <v/>
      </c>
      <c r="AQ17" s="2"/>
      <c r="AR17" s="18" t="s">
        <v>17</v>
      </c>
      <c r="AT17" s="78" t="str">
        <f>IF(D17=0,"",D17)</f>
        <v/>
      </c>
      <c r="AU17" s="78"/>
      <c r="AV17" s="31"/>
      <c r="AX17" s="32" t="str">
        <f>IF(H17=0,"",H17)</f>
        <v/>
      </c>
      <c r="AY17" s="3" t="s">
        <v>18</v>
      </c>
      <c r="BA17" s="32" t="str">
        <f>IF(K17=0,"",K17)</f>
        <v/>
      </c>
      <c r="BB17" s="3" t="s">
        <v>19</v>
      </c>
      <c r="BD17" s="33" t="str">
        <f>IF(N17=0,"",N17)</f>
        <v/>
      </c>
      <c r="BL17" s="2"/>
    </row>
    <row r="18" spans="1:64" ht="6.75" customHeight="1" thickTop="1" x14ac:dyDescent="0.25">
      <c r="A18" s="1"/>
      <c r="V18" s="2"/>
      <c r="AQ18" s="2"/>
      <c r="BL18" s="2"/>
    </row>
    <row r="19" spans="1:64" s="39" customFormat="1" ht="25.5" customHeight="1" thickBot="1" x14ac:dyDescent="0.3">
      <c r="A19" s="34"/>
      <c r="B19" s="35" t="s">
        <v>20</v>
      </c>
      <c r="C19" s="104" t="s">
        <v>21</v>
      </c>
      <c r="D19" s="105"/>
      <c r="E19" s="104" t="s">
        <v>22</v>
      </c>
      <c r="F19" s="106"/>
      <c r="G19" s="106"/>
      <c r="H19" s="106"/>
      <c r="I19" s="106"/>
      <c r="J19" s="105"/>
      <c r="K19" s="104" t="s">
        <v>23</v>
      </c>
      <c r="L19" s="106"/>
      <c r="M19" s="105"/>
      <c r="N19" s="104" t="s">
        <v>24</v>
      </c>
      <c r="O19" s="106"/>
      <c r="P19" s="105"/>
      <c r="Q19" s="104" t="s">
        <v>25</v>
      </c>
      <c r="R19" s="106"/>
      <c r="S19" s="105"/>
      <c r="T19" s="104" t="s">
        <v>26</v>
      </c>
      <c r="U19" s="107"/>
      <c r="V19" s="36"/>
      <c r="W19" s="37" t="s">
        <v>20</v>
      </c>
      <c r="X19" s="85" t="s">
        <v>21</v>
      </c>
      <c r="Y19" s="86"/>
      <c r="Z19" s="85" t="s">
        <v>22</v>
      </c>
      <c r="AA19" s="87"/>
      <c r="AB19" s="87"/>
      <c r="AC19" s="87"/>
      <c r="AD19" s="87"/>
      <c r="AE19" s="86"/>
      <c r="AF19" s="85" t="s">
        <v>23</v>
      </c>
      <c r="AG19" s="87"/>
      <c r="AH19" s="86"/>
      <c r="AI19" s="85" t="s">
        <v>24</v>
      </c>
      <c r="AJ19" s="87"/>
      <c r="AK19" s="86"/>
      <c r="AL19" s="85" t="s">
        <v>25</v>
      </c>
      <c r="AM19" s="87"/>
      <c r="AN19" s="86"/>
      <c r="AO19" s="85" t="s">
        <v>26</v>
      </c>
      <c r="AP19" s="88"/>
      <c r="AQ19" s="36"/>
      <c r="AR19" s="38" t="s">
        <v>20</v>
      </c>
      <c r="AS19" s="81" t="s">
        <v>21</v>
      </c>
      <c r="AT19" s="83"/>
      <c r="AU19" s="81" t="s">
        <v>22</v>
      </c>
      <c r="AV19" s="82"/>
      <c r="AW19" s="82"/>
      <c r="AX19" s="82"/>
      <c r="AY19" s="82"/>
      <c r="AZ19" s="83"/>
      <c r="BA19" s="81" t="s">
        <v>23</v>
      </c>
      <c r="BB19" s="82"/>
      <c r="BC19" s="83"/>
      <c r="BD19" s="81" t="s">
        <v>24</v>
      </c>
      <c r="BE19" s="82"/>
      <c r="BF19" s="83"/>
      <c r="BG19" s="81" t="s">
        <v>25</v>
      </c>
      <c r="BH19" s="82"/>
      <c r="BI19" s="83"/>
      <c r="BJ19" s="81" t="s">
        <v>26</v>
      </c>
      <c r="BK19" s="84"/>
      <c r="BL19" s="36"/>
    </row>
    <row r="20" spans="1:64" x14ac:dyDescent="0.25">
      <c r="A20" s="1"/>
      <c r="B20" s="40"/>
      <c r="C20" s="89"/>
      <c r="D20" s="90"/>
      <c r="E20" s="91"/>
      <c r="F20" s="92"/>
      <c r="G20" s="92"/>
      <c r="H20" s="92"/>
      <c r="I20" s="92"/>
      <c r="J20" s="41"/>
      <c r="K20" s="93"/>
      <c r="L20" s="94"/>
      <c r="M20" s="95"/>
      <c r="N20" s="96"/>
      <c r="O20" s="97"/>
      <c r="P20" s="98"/>
      <c r="Q20" s="99"/>
      <c r="R20" s="100"/>
      <c r="S20" s="101"/>
      <c r="T20" s="102">
        <f>K20*Q20</f>
        <v>0</v>
      </c>
      <c r="U20" s="103"/>
      <c r="V20" s="2"/>
      <c r="W20" s="48" t="str">
        <f t="shared" ref="W20:AL36" si="0">IF(B20=0,"",B20)</f>
        <v/>
      </c>
      <c r="X20" s="108" t="str">
        <f t="shared" si="0"/>
        <v/>
      </c>
      <c r="Y20" s="109" t="str">
        <f t="shared" si="0"/>
        <v/>
      </c>
      <c r="Z20" s="110" t="str">
        <f t="shared" si="0"/>
        <v/>
      </c>
      <c r="AA20" s="111" t="str">
        <f t="shared" si="0"/>
        <v/>
      </c>
      <c r="AB20" s="111" t="str">
        <f t="shared" si="0"/>
        <v/>
      </c>
      <c r="AC20" s="111" t="str">
        <f t="shared" si="0"/>
        <v/>
      </c>
      <c r="AD20" s="111" t="str">
        <f t="shared" si="0"/>
        <v/>
      </c>
      <c r="AE20" s="112" t="str">
        <f t="shared" si="0"/>
        <v/>
      </c>
      <c r="AF20" s="102" t="str">
        <f t="shared" si="0"/>
        <v/>
      </c>
      <c r="AG20" s="113" t="str">
        <f t="shared" si="0"/>
        <v/>
      </c>
      <c r="AH20" s="114" t="str">
        <f t="shared" si="0"/>
        <v/>
      </c>
      <c r="AI20" s="108" t="str">
        <f t="shared" si="0"/>
        <v/>
      </c>
      <c r="AJ20" s="115" t="str">
        <f t="shared" si="0"/>
        <v/>
      </c>
      <c r="AK20" s="109" t="str">
        <f t="shared" si="0"/>
        <v/>
      </c>
      <c r="AL20" s="116" t="str">
        <f>IF(Q20=0,"",Q20)</f>
        <v/>
      </c>
      <c r="AM20" s="117" t="str">
        <f t="shared" ref="AL20:AQ35" si="1">IF(R20=0,"",R20)</f>
        <v/>
      </c>
      <c r="AN20" s="118" t="str">
        <f t="shared" si="1"/>
        <v/>
      </c>
      <c r="AO20" s="119" t="str">
        <f t="shared" si="1"/>
        <v/>
      </c>
      <c r="AP20" s="120" t="str">
        <f t="shared" si="1"/>
        <v/>
      </c>
      <c r="AQ20" s="2" t="str">
        <f t="shared" si="1"/>
        <v/>
      </c>
      <c r="AR20" s="48" t="str">
        <f>IF(B20=0,"",B20)</f>
        <v/>
      </c>
      <c r="AS20" s="108" t="str">
        <f t="shared" ref="AS20:BH35" si="2">IF(X20=0,"",X20)</f>
        <v/>
      </c>
      <c r="AT20" s="109" t="str">
        <f t="shared" si="2"/>
        <v/>
      </c>
      <c r="AU20" s="110" t="str">
        <f t="shared" si="2"/>
        <v/>
      </c>
      <c r="AV20" s="111" t="str">
        <f t="shared" si="2"/>
        <v/>
      </c>
      <c r="AW20" s="111" t="str">
        <f t="shared" si="2"/>
        <v/>
      </c>
      <c r="AX20" s="111" t="str">
        <f t="shared" si="2"/>
        <v/>
      </c>
      <c r="AY20" s="111" t="str">
        <f t="shared" si="2"/>
        <v/>
      </c>
      <c r="AZ20" s="112" t="str">
        <f t="shared" si="2"/>
        <v/>
      </c>
      <c r="BA20" s="102" t="str">
        <f t="shared" si="2"/>
        <v/>
      </c>
      <c r="BB20" s="113" t="str">
        <f t="shared" si="2"/>
        <v/>
      </c>
      <c r="BC20" s="114" t="str">
        <f t="shared" si="2"/>
        <v/>
      </c>
      <c r="BD20" s="108" t="str">
        <f t="shared" si="2"/>
        <v/>
      </c>
      <c r="BE20" s="115" t="str">
        <f t="shared" si="2"/>
        <v/>
      </c>
      <c r="BF20" s="109" t="str">
        <f t="shared" si="2"/>
        <v/>
      </c>
      <c r="BG20" s="116" t="str">
        <f t="shared" si="2"/>
        <v/>
      </c>
      <c r="BH20" s="117" t="str">
        <f t="shared" si="2"/>
        <v/>
      </c>
      <c r="BI20" s="118" t="str">
        <f t="shared" ref="BI20:BK41" si="3">IF(AN20=0,"",AN20)</f>
        <v/>
      </c>
      <c r="BJ20" s="119" t="str">
        <f t="shared" si="3"/>
        <v/>
      </c>
      <c r="BK20" s="120" t="str">
        <f t="shared" si="3"/>
        <v/>
      </c>
      <c r="BL20" s="2" t="str">
        <f>IF(AQ20=0,"",AQ20)</f>
        <v/>
      </c>
    </row>
    <row r="21" spans="1:64" x14ac:dyDescent="0.25">
      <c r="A21" s="1"/>
      <c r="B21" s="49"/>
      <c r="C21" s="96"/>
      <c r="D21" s="97"/>
      <c r="E21" s="132"/>
      <c r="F21" s="133"/>
      <c r="G21" s="133"/>
      <c r="H21" s="133"/>
      <c r="I21" s="133"/>
      <c r="J21" s="134"/>
      <c r="K21" s="93"/>
      <c r="L21" s="94"/>
      <c r="M21" s="95"/>
      <c r="N21" s="96"/>
      <c r="O21" s="97"/>
      <c r="P21" s="98"/>
      <c r="Q21" s="135"/>
      <c r="R21" s="136"/>
      <c r="S21" s="137"/>
      <c r="T21" s="93">
        <f>K21*Q21</f>
        <v>0</v>
      </c>
      <c r="U21" s="138"/>
      <c r="V21" s="2"/>
      <c r="W21" s="54" t="str">
        <f t="shared" si="0"/>
        <v/>
      </c>
      <c r="X21" s="121" t="str">
        <f t="shared" si="0"/>
        <v/>
      </c>
      <c r="Y21" s="123" t="str">
        <f t="shared" si="0"/>
        <v/>
      </c>
      <c r="Z21" s="129" t="str">
        <f t="shared" si="0"/>
        <v/>
      </c>
      <c r="AA21" s="130" t="str">
        <f t="shared" si="0"/>
        <v/>
      </c>
      <c r="AB21" s="130" t="str">
        <f t="shared" si="0"/>
        <v/>
      </c>
      <c r="AC21" s="130" t="str">
        <f t="shared" si="0"/>
        <v/>
      </c>
      <c r="AD21" s="130" t="str">
        <f t="shared" si="0"/>
        <v/>
      </c>
      <c r="AE21" s="131" t="str">
        <f t="shared" si="0"/>
        <v/>
      </c>
      <c r="AF21" s="93" t="str">
        <f t="shared" si="0"/>
        <v/>
      </c>
      <c r="AG21" s="94" t="str">
        <f t="shared" si="0"/>
        <v/>
      </c>
      <c r="AH21" s="95" t="str">
        <f t="shared" si="0"/>
        <v/>
      </c>
      <c r="AI21" s="121" t="str">
        <f t="shared" si="0"/>
        <v/>
      </c>
      <c r="AJ21" s="122" t="str">
        <f t="shared" si="0"/>
        <v/>
      </c>
      <c r="AK21" s="123" t="str">
        <f t="shared" si="0"/>
        <v/>
      </c>
      <c r="AL21" s="124" t="str">
        <f t="shared" si="0"/>
        <v/>
      </c>
      <c r="AM21" s="125" t="str">
        <f t="shared" si="1"/>
        <v/>
      </c>
      <c r="AN21" s="126" t="str">
        <f t="shared" si="1"/>
        <v/>
      </c>
      <c r="AO21" s="127" t="str">
        <f t="shared" si="1"/>
        <v/>
      </c>
      <c r="AP21" s="128" t="str">
        <f t="shared" si="1"/>
        <v/>
      </c>
      <c r="AQ21" s="2"/>
      <c r="AR21" s="54" t="str">
        <f>IF(W21=0,"",W21)</f>
        <v/>
      </c>
      <c r="AS21" s="121" t="str">
        <f>IF(X21=0,"",X21)</f>
        <v/>
      </c>
      <c r="AT21" s="123" t="str">
        <f t="shared" si="2"/>
        <v/>
      </c>
      <c r="AU21" s="129" t="str">
        <f t="shared" si="2"/>
        <v/>
      </c>
      <c r="AV21" s="130" t="str">
        <f t="shared" si="2"/>
        <v/>
      </c>
      <c r="AW21" s="130" t="str">
        <f t="shared" si="2"/>
        <v/>
      </c>
      <c r="AX21" s="130" t="str">
        <f t="shared" si="2"/>
        <v/>
      </c>
      <c r="AY21" s="130" t="str">
        <f t="shared" si="2"/>
        <v/>
      </c>
      <c r="AZ21" s="131" t="str">
        <f t="shared" si="2"/>
        <v/>
      </c>
      <c r="BA21" s="93" t="str">
        <f t="shared" si="2"/>
        <v/>
      </c>
      <c r="BB21" s="94" t="str">
        <f t="shared" si="2"/>
        <v/>
      </c>
      <c r="BC21" s="95" t="str">
        <f t="shared" si="2"/>
        <v/>
      </c>
      <c r="BD21" s="121" t="str">
        <f t="shared" si="2"/>
        <v/>
      </c>
      <c r="BE21" s="122" t="str">
        <f t="shared" si="2"/>
        <v/>
      </c>
      <c r="BF21" s="123" t="str">
        <f t="shared" si="2"/>
        <v/>
      </c>
      <c r="BG21" s="124" t="str">
        <f t="shared" si="2"/>
        <v/>
      </c>
      <c r="BH21" s="125" t="str">
        <f t="shared" si="2"/>
        <v/>
      </c>
      <c r="BI21" s="126" t="str">
        <f t="shared" si="3"/>
        <v/>
      </c>
      <c r="BJ21" s="127" t="str">
        <f t="shared" si="3"/>
        <v/>
      </c>
      <c r="BK21" s="128" t="str">
        <f t="shared" si="3"/>
        <v/>
      </c>
      <c r="BL21" s="2"/>
    </row>
    <row r="22" spans="1:64" x14ac:dyDescent="0.25">
      <c r="A22" s="1"/>
      <c r="B22" s="49"/>
      <c r="C22" s="96"/>
      <c r="D22" s="97"/>
      <c r="E22" s="132"/>
      <c r="F22" s="133"/>
      <c r="G22" s="133"/>
      <c r="H22" s="133"/>
      <c r="I22" s="133"/>
      <c r="J22" s="134"/>
      <c r="K22" s="93"/>
      <c r="L22" s="94"/>
      <c r="M22" s="95"/>
      <c r="N22" s="96"/>
      <c r="O22" s="97"/>
      <c r="P22" s="98"/>
      <c r="Q22" s="135"/>
      <c r="R22" s="136"/>
      <c r="S22" s="137"/>
      <c r="T22" s="93">
        <f>K22*Q22</f>
        <v>0</v>
      </c>
      <c r="U22" s="138"/>
      <c r="V22" s="2"/>
      <c r="W22" s="54" t="str">
        <f t="shared" si="0"/>
        <v/>
      </c>
      <c r="X22" s="121" t="str">
        <f t="shared" si="0"/>
        <v/>
      </c>
      <c r="Y22" s="123" t="str">
        <f t="shared" si="0"/>
        <v/>
      </c>
      <c r="Z22" s="129" t="str">
        <f t="shared" si="0"/>
        <v/>
      </c>
      <c r="AA22" s="130" t="str">
        <f t="shared" si="0"/>
        <v/>
      </c>
      <c r="AB22" s="130" t="str">
        <f t="shared" si="0"/>
        <v/>
      </c>
      <c r="AC22" s="130" t="str">
        <f t="shared" si="0"/>
        <v/>
      </c>
      <c r="AD22" s="130" t="str">
        <f t="shared" si="0"/>
        <v/>
      </c>
      <c r="AE22" s="131" t="str">
        <f t="shared" si="0"/>
        <v/>
      </c>
      <c r="AF22" s="93" t="str">
        <f t="shared" si="0"/>
        <v/>
      </c>
      <c r="AG22" s="94" t="str">
        <f t="shared" si="0"/>
        <v/>
      </c>
      <c r="AH22" s="95" t="str">
        <f t="shared" si="0"/>
        <v/>
      </c>
      <c r="AI22" s="121" t="str">
        <f t="shared" si="0"/>
        <v/>
      </c>
      <c r="AJ22" s="122" t="str">
        <f t="shared" si="0"/>
        <v/>
      </c>
      <c r="AK22" s="123" t="str">
        <f t="shared" si="0"/>
        <v/>
      </c>
      <c r="AL22" s="124" t="str">
        <f t="shared" si="0"/>
        <v/>
      </c>
      <c r="AM22" s="125" t="str">
        <f t="shared" si="1"/>
        <v/>
      </c>
      <c r="AN22" s="126" t="str">
        <f t="shared" si="1"/>
        <v/>
      </c>
      <c r="AO22" s="127" t="str">
        <f t="shared" si="1"/>
        <v/>
      </c>
      <c r="AP22" s="128" t="str">
        <f t="shared" si="1"/>
        <v/>
      </c>
      <c r="AQ22" s="2"/>
      <c r="AR22" s="54" t="str">
        <f t="shared" ref="AR22:BG41" si="4">IF(W22=0,"",W22)</f>
        <v/>
      </c>
      <c r="AS22" s="121" t="str">
        <f t="shared" si="2"/>
        <v/>
      </c>
      <c r="AT22" s="123" t="str">
        <f t="shared" si="2"/>
        <v/>
      </c>
      <c r="AU22" s="129" t="str">
        <f t="shared" si="2"/>
        <v/>
      </c>
      <c r="AV22" s="130" t="str">
        <f t="shared" si="2"/>
        <v/>
      </c>
      <c r="AW22" s="130" t="str">
        <f t="shared" si="2"/>
        <v/>
      </c>
      <c r="AX22" s="130" t="str">
        <f t="shared" si="2"/>
        <v/>
      </c>
      <c r="AY22" s="130" t="str">
        <f t="shared" si="2"/>
        <v/>
      </c>
      <c r="AZ22" s="131" t="str">
        <f t="shared" si="2"/>
        <v/>
      </c>
      <c r="BA22" s="93" t="str">
        <f t="shared" si="2"/>
        <v/>
      </c>
      <c r="BB22" s="94" t="str">
        <f t="shared" si="2"/>
        <v/>
      </c>
      <c r="BC22" s="95" t="str">
        <f t="shared" si="2"/>
        <v/>
      </c>
      <c r="BD22" s="121" t="str">
        <f t="shared" si="2"/>
        <v/>
      </c>
      <c r="BE22" s="122" t="str">
        <f t="shared" si="2"/>
        <v/>
      </c>
      <c r="BF22" s="123" t="str">
        <f t="shared" si="2"/>
        <v/>
      </c>
      <c r="BG22" s="124" t="str">
        <f t="shared" si="2"/>
        <v/>
      </c>
      <c r="BH22" s="125" t="str">
        <f t="shared" si="2"/>
        <v/>
      </c>
      <c r="BI22" s="126" t="str">
        <f t="shared" si="3"/>
        <v/>
      </c>
      <c r="BJ22" s="127" t="str">
        <f t="shared" si="3"/>
        <v/>
      </c>
      <c r="BK22" s="128" t="str">
        <f t="shared" si="3"/>
        <v/>
      </c>
      <c r="BL22" s="2"/>
    </row>
    <row r="23" spans="1:64" x14ac:dyDescent="0.25">
      <c r="A23" s="1"/>
      <c r="B23" s="49"/>
      <c r="C23" s="96"/>
      <c r="D23" s="98"/>
      <c r="E23" s="132"/>
      <c r="F23" s="133"/>
      <c r="G23" s="133"/>
      <c r="H23" s="133"/>
      <c r="I23" s="133"/>
      <c r="J23" s="134"/>
      <c r="K23" s="93"/>
      <c r="L23" s="94"/>
      <c r="M23" s="95"/>
      <c r="N23" s="96"/>
      <c r="O23" s="97"/>
      <c r="P23" s="98"/>
      <c r="Q23" s="135"/>
      <c r="R23" s="136"/>
      <c r="S23" s="137"/>
      <c r="T23" s="93">
        <f t="shared" ref="T23:T41" si="5">ROUND(K23*Q23,2)</f>
        <v>0</v>
      </c>
      <c r="U23" s="138"/>
      <c r="V23" s="2"/>
      <c r="W23" s="54" t="str">
        <f t="shared" si="0"/>
        <v/>
      </c>
      <c r="X23" s="121" t="str">
        <f t="shared" si="0"/>
        <v/>
      </c>
      <c r="Y23" s="123" t="str">
        <f t="shared" si="0"/>
        <v/>
      </c>
      <c r="Z23" s="129" t="str">
        <f t="shared" si="0"/>
        <v/>
      </c>
      <c r="AA23" s="130" t="str">
        <f t="shared" si="0"/>
        <v/>
      </c>
      <c r="AB23" s="130" t="str">
        <f t="shared" si="0"/>
        <v/>
      </c>
      <c r="AC23" s="130" t="str">
        <f t="shared" si="0"/>
        <v/>
      </c>
      <c r="AD23" s="130" t="str">
        <f t="shared" si="0"/>
        <v/>
      </c>
      <c r="AE23" s="131" t="str">
        <f t="shared" si="0"/>
        <v/>
      </c>
      <c r="AF23" s="93" t="str">
        <f t="shared" si="0"/>
        <v/>
      </c>
      <c r="AG23" s="94" t="str">
        <f t="shared" si="0"/>
        <v/>
      </c>
      <c r="AH23" s="95" t="str">
        <f t="shared" si="0"/>
        <v/>
      </c>
      <c r="AI23" s="121" t="str">
        <f t="shared" si="0"/>
        <v/>
      </c>
      <c r="AJ23" s="122" t="str">
        <f t="shared" si="0"/>
        <v/>
      </c>
      <c r="AK23" s="123" t="str">
        <f t="shared" si="0"/>
        <v/>
      </c>
      <c r="AL23" s="124" t="str">
        <f t="shared" si="0"/>
        <v/>
      </c>
      <c r="AM23" s="125" t="str">
        <f t="shared" si="1"/>
        <v/>
      </c>
      <c r="AN23" s="126" t="str">
        <f t="shared" si="1"/>
        <v/>
      </c>
      <c r="AO23" s="127" t="str">
        <f t="shared" si="1"/>
        <v/>
      </c>
      <c r="AP23" s="128" t="str">
        <f t="shared" si="1"/>
        <v/>
      </c>
      <c r="AQ23" s="2"/>
      <c r="AR23" s="54" t="str">
        <f t="shared" si="4"/>
        <v/>
      </c>
      <c r="AS23" s="121" t="str">
        <f t="shared" si="2"/>
        <v/>
      </c>
      <c r="AT23" s="123" t="str">
        <f t="shared" si="2"/>
        <v/>
      </c>
      <c r="AU23" s="129" t="str">
        <f t="shared" si="2"/>
        <v/>
      </c>
      <c r="AV23" s="130" t="str">
        <f t="shared" si="2"/>
        <v/>
      </c>
      <c r="AW23" s="130" t="str">
        <f t="shared" si="2"/>
        <v/>
      </c>
      <c r="AX23" s="130" t="str">
        <f t="shared" si="2"/>
        <v/>
      </c>
      <c r="AY23" s="130" t="str">
        <f t="shared" si="2"/>
        <v/>
      </c>
      <c r="AZ23" s="131" t="str">
        <f t="shared" si="2"/>
        <v/>
      </c>
      <c r="BA23" s="93" t="str">
        <f t="shared" si="2"/>
        <v/>
      </c>
      <c r="BB23" s="94" t="str">
        <f t="shared" si="2"/>
        <v/>
      </c>
      <c r="BC23" s="95" t="str">
        <f t="shared" si="2"/>
        <v/>
      </c>
      <c r="BD23" s="121" t="str">
        <f t="shared" si="2"/>
        <v/>
      </c>
      <c r="BE23" s="122" t="str">
        <f t="shared" si="2"/>
        <v/>
      </c>
      <c r="BF23" s="123" t="str">
        <f t="shared" si="2"/>
        <v/>
      </c>
      <c r="BG23" s="124" t="str">
        <f t="shared" si="2"/>
        <v/>
      </c>
      <c r="BH23" s="125" t="str">
        <f t="shared" si="2"/>
        <v/>
      </c>
      <c r="BI23" s="126" t="str">
        <f t="shared" si="3"/>
        <v/>
      </c>
      <c r="BJ23" s="127" t="str">
        <f t="shared" si="3"/>
        <v/>
      </c>
      <c r="BK23" s="128" t="str">
        <f t="shared" si="3"/>
        <v/>
      </c>
      <c r="BL23" s="2"/>
    </row>
    <row r="24" spans="1:64" x14ac:dyDescent="0.25">
      <c r="A24" s="1"/>
      <c r="B24" s="49"/>
      <c r="C24" s="96"/>
      <c r="D24" s="98"/>
      <c r="E24" s="132"/>
      <c r="F24" s="133"/>
      <c r="G24" s="133"/>
      <c r="H24" s="133"/>
      <c r="I24" s="133"/>
      <c r="J24" s="134"/>
      <c r="K24" s="93"/>
      <c r="L24" s="94"/>
      <c r="M24" s="95"/>
      <c r="N24" s="96"/>
      <c r="O24" s="97"/>
      <c r="P24" s="98"/>
      <c r="Q24" s="135"/>
      <c r="R24" s="136"/>
      <c r="S24" s="137"/>
      <c r="T24" s="93">
        <f t="shared" si="5"/>
        <v>0</v>
      </c>
      <c r="U24" s="138"/>
      <c r="V24" s="2"/>
      <c r="W24" s="54" t="str">
        <f t="shared" si="0"/>
        <v/>
      </c>
      <c r="X24" s="121" t="str">
        <f t="shared" si="0"/>
        <v/>
      </c>
      <c r="Y24" s="123" t="str">
        <f t="shared" si="0"/>
        <v/>
      </c>
      <c r="Z24" s="129" t="str">
        <f t="shared" si="0"/>
        <v/>
      </c>
      <c r="AA24" s="130" t="str">
        <f t="shared" si="0"/>
        <v/>
      </c>
      <c r="AB24" s="130" t="str">
        <f t="shared" si="0"/>
        <v/>
      </c>
      <c r="AC24" s="130" t="str">
        <f t="shared" si="0"/>
        <v/>
      </c>
      <c r="AD24" s="130" t="str">
        <f t="shared" si="0"/>
        <v/>
      </c>
      <c r="AE24" s="131" t="str">
        <f t="shared" si="0"/>
        <v/>
      </c>
      <c r="AF24" s="93" t="str">
        <f t="shared" si="0"/>
        <v/>
      </c>
      <c r="AG24" s="94" t="str">
        <f t="shared" si="0"/>
        <v/>
      </c>
      <c r="AH24" s="95" t="str">
        <f t="shared" si="0"/>
        <v/>
      </c>
      <c r="AI24" s="121" t="str">
        <f t="shared" si="0"/>
        <v/>
      </c>
      <c r="AJ24" s="122" t="str">
        <f t="shared" si="0"/>
        <v/>
      </c>
      <c r="AK24" s="123" t="str">
        <f t="shared" si="0"/>
        <v/>
      </c>
      <c r="AL24" s="124" t="str">
        <f t="shared" si="0"/>
        <v/>
      </c>
      <c r="AM24" s="125" t="str">
        <f t="shared" si="1"/>
        <v/>
      </c>
      <c r="AN24" s="126" t="str">
        <f t="shared" si="1"/>
        <v/>
      </c>
      <c r="AO24" s="127" t="str">
        <f t="shared" si="1"/>
        <v/>
      </c>
      <c r="AP24" s="128" t="str">
        <f t="shared" si="1"/>
        <v/>
      </c>
      <c r="AQ24" s="2"/>
      <c r="AR24" s="54" t="str">
        <f t="shared" si="4"/>
        <v/>
      </c>
      <c r="AS24" s="121" t="str">
        <f t="shared" si="2"/>
        <v/>
      </c>
      <c r="AT24" s="123" t="str">
        <f t="shared" si="2"/>
        <v/>
      </c>
      <c r="AU24" s="129" t="str">
        <f t="shared" si="2"/>
        <v/>
      </c>
      <c r="AV24" s="130" t="str">
        <f t="shared" si="2"/>
        <v/>
      </c>
      <c r="AW24" s="130" t="str">
        <f t="shared" si="2"/>
        <v/>
      </c>
      <c r="AX24" s="130" t="str">
        <f t="shared" si="2"/>
        <v/>
      </c>
      <c r="AY24" s="130" t="str">
        <f t="shared" si="2"/>
        <v/>
      </c>
      <c r="AZ24" s="131" t="str">
        <f t="shared" si="2"/>
        <v/>
      </c>
      <c r="BA24" s="93" t="str">
        <f t="shared" si="2"/>
        <v/>
      </c>
      <c r="BB24" s="94" t="str">
        <f t="shared" si="2"/>
        <v/>
      </c>
      <c r="BC24" s="95" t="str">
        <f t="shared" si="2"/>
        <v/>
      </c>
      <c r="BD24" s="121" t="str">
        <f t="shared" si="2"/>
        <v/>
      </c>
      <c r="BE24" s="122" t="str">
        <f t="shared" si="2"/>
        <v/>
      </c>
      <c r="BF24" s="123" t="str">
        <f t="shared" si="2"/>
        <v/>
      </c>
      <c r="BG24" s="124" t="str">
        <f t="shared" si="2"/>
        <v/>
      </c>
      <c r="BH24" s="125" t="str">
        <f t="shared" si="2"/>
        <v/>
      </c>
      <c r="BI24" s="126" t="str">
        <f t="shared" si="3"/>
        <v/>
      </c>
      <c r="BJ24" s="127" t="str">
        <f t="shared" si="3"/>
        <v/>
      </c>
      <c r="BK24" s="128" t="str">
        <f t="shared" si="3"/>
        <v/>
      </c>
      <c r="BL24" s="2"/>
    </row>
    <row r="25" spans="1:64" x14ac:dyDescent="0.25">
      <c r="A25" s="1"/>
      <c r="B25" s="49"/>
      <c r="C25" s="96"/>
      <c r="D25" s="98"/>
      <c r="E25" s="132"/>
      <c r="F25" s="133"/>
      <c r="G25" s="133"/>
      <c r="H25" s="133"/>
      <c r="I25" s="133"/>
      <c r="J25" s="134"/>
      <c r="K25" s="93"/>
      <c r="L25" s="94"/>
      <c r="M25" s="95"/>
      <c r="N25" s="96"/>
      <c r="O25" s="97"/>
      <c r="P25" s="98"/>
      <c r="Q25" s="135"/>
      <c r="R25" s="136"/>
      <c r="S25" s="137"/>
      <c r="T25" s="93">
        <f t="shared" si="5"/>
        <v>0</v>
      </c>
      <c r="U25" s="138"/>
      <c r="V25" s="2"/>
      <c r="W25" s="54" t="str">
        <f t="shared" si="0"/>
        <v/>
      </c>
      <c r="X25" s="121" t="str">
        <f t="shared" si="0"/>
        <v/>
      </c>
      <c r="Y25" s="123" t="str">
        <f t="shared" si="0"/>
        <v/>
      </c>
      <c r="Z25" s="129" t="str">
        <f t="shared" si="0"/>
        <v/>
      </c>
      <c r="AA25" s="130" t="str">
        <f t="shared" si="0"/>
        <v/>
      </c>
      <c r="AB25" s="130" t="str">
        <f t="shared" si="0"/>
        <v/>
      </c>
      <c r="AC25" s="130" t="str">
        <f t="shared" si="0"/>
        <v/>
      </c>
      <c r="AD25" s="130" t="str">
        <f t="shared" si="0"/>
        <v/>
      </c>
      <c r="AE25" s="131" t="str">
        <f t="shared" si="0"/>
        <v/>
      </c>
      <c r="AF25" s="93" t="str">
        <f t="shared" si="0"/>
        <v/>
      </c>
      <c r="AG25" s="94" t="str">
        <f t="shared" si="0"/>
        <v/>
      </c>
      <c r="AH25" s="95" t="str">
        <f t="shared" si="0"/>
        <v/>
      </c>
      <c r="AI25" s="121" t="str">
        <f t="shared" si="0"/>
        <v/>
      </c>
      <c r="AJ25" s="122" t="str">
        <f t="shared" si="0"/>
        <v/>
      </c>
      <c r="AK25" s="123" t="str">
        <f t="shared" si="0"/>
        <v/>
      </c>
      <c r="AL25" s="124" t="str">
        <f t="shared" si="0"/>
        <v/>
      </c>
      <c r="AM25" s="125" t="str">
        <f t="shared" si="1"/>
        <v/>
      </c>
      <c r="AN25" s="126" t="str">
        <f t="shared" si="1"/>
        <v/>
      </c>
      <c r="AO25" s="127" t="str">
        <f t="shared" si="1"/>
        <v/>
      </c>
      <c r="AP25" s="128" t="str">
        <f t="shared" si="1"/>
        <v/>
      </c>
      <c r="AQ25" s="2"/>
      <c r="AR25" s="54" t="str">
        <f t="shared" si="4"/>
        <v/>
      </c>
      <c r="AS25" s="121" t="str">
        <f t="shared" si="2"/>
        <v/>
      </c>
      <c r="AT25" s="123" t="str">
        <f t="shared" si="2"/>
        <v/>
      </c>
      <c r="AU25" s="129" t="str">
        <f t="shared" si="2"/>
        <v/>
      </c>
      <c r="AV25" s="130" t="str">
        <f t="shared" si="2"/>
        <v/>
      </c>
      <c r="AW25" s="130" t="str">
        <f t="shared" si="2"/>
        <v/>
      </c>
      <c r="AX25" s="130" t="str">
        <f t="shared" si="2"/>
        <v/>
      </c>
      <c r="AY25" s="130" t="str">
        <f t="shared" si="2"/>
        <v/>
      </c>
      <c r="AZ25" s="131" t="str">
        <f t="shared" si="2"/>
        <v/>
      </c>
      <c r="BA25" s="93" t="str">
        <f t="shared" si="2"/>
        <v/>
      </c>
      <c r="BB25" s="94" t="str">
        <f t="shared" si="2"/>
        <v/>
      </c>
      <c r="BC25" s="95" t="str">
        <f t="shared" si="2"/>
        <v/>
      </c>
      <c r="BD25" s="121" t="str">
        <f t="shared" si="2"/>
        <v/>
      </c>
      <c r="BE25" s="122" t="str">
        <f t="shared" si="2"/>
        <v/>
      </c>
      <c r="BF25" s="123" t="str">
        <f t="shared" si="2"/>
        <v/>
      </c>
      <c r="BG25" s="124" t="str">
        <f t="shared" si="2"/>
        <v/>
      </c>
      <c r="BH25" s="125" t="str">
        <f t="shared" si="2"/>
        <v/>
      </c>
      <c r="BI25" s="126" t="str">
        <f t="shared" si="3"/>
        <v/>
      </c>
      <c r="BJ25" s="127" t="str">
        <f t="shared" si="3"/>
        <v/>
      </c>
      <c r="BK25" s="128" t="str">
        <f t="shared" si="3"/>
        <v/>
      </c>
      <c r="BL25" s="2"/>
    </row>
    <row r="26" spans="1:64" x14ac:dyDescent="0.25">
      <c r="A26" s="1"/>
      <c r="B26" s="49"/>
      <c r="C26" s="96"/>
      <c r="D26" s="98"/>
      <c r="E26" s="132"/>
      <c r="F26" s="133"/>
      <c r="G26" s="133"/>
      <c r="H26" s="133"/>
      <c r="I26" s="133"/>
      <c r="J26" s="134"/>
      <c r="K26" s="93"/>
      <c r="L26" s="94"/>
      <c r="M26" s="95"/>
      <c r="N26" s="96"/>
      <c r="O26" s="97"/>
      <c r="P26" s="98"/>
      <c r="Q26" s="135"/>
      <c r="R26" s="136"/>
      <c r="S26" s="137"/>
      <c r="T26" s="139">
        <f t="shared" si="5"/>
        <v>0</v>
      </c>
      <c r="U26" s="140"/>
      <c r="V26" s="2"/>
      <c r="W26" s="54" t="str">
        <f t="shared" si="0"/>
        <v/>
      </c>
      <c r="X26" s="121" t="str">
        <f t="shared" si="0"/>
        <v/>
      </c>
      <c r="Y26" s="123" t="str">
        <f t="shared" si="0"/>
        <v/>
      </c>
      <c r="Z26" s="129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1" t="str">
        <f t="shared" si="0"/>
        <v/>
      </c>
      <c r="AF26" s="93" t="str">
        <f t="shared" si="0"/>
        <v/>
      </c>
      <c r="AG26" s="94" t="str">
        <f t="shared" si="0"/>
        <v/>
      </c>
      <c r="AH26" s="95" t="str">
        <f t="shared" si="0"/>
        <v/>
      </c>
      <c r="AI26" s="121" t="str">
        <f t="shared" si="0"/>
        <v/>
      </c>
      <c r="AJ26" s="122" t="str">
        <f t="shared" si="0"/>
        <v/>
      </c>
      <c r="AK26" s="123" t="str">
        <f t="shared" si="0"/>
        <v/>
      </c>
      <c r="AL26" s="124" t="str">
        <f t="shared" si="0"/>
        <v/>
      </c>
      <c r="AM26" s="125" t="str">
        <f t="shared" si="1"/>
        <v/>
      </c>
      <c r="AN26" s="126" t="str">
        <f t="shared" si="1"/>
        <v/>
      </c>
      <c r="AO26" s="127" t="str">
        <f t="shared" si="1"/>
        <v/>
      </c>
      <c r="AP26" s="128" t="str">
        <f t="shared" si="1"/>
        <v/>
      </c>
      <c r="AQ26" s="2"/>
      <c r="AR26" s="54" t="str">
        <f t="shared" si="4"/>
        <v/>
      </c>
      <c r="AS26" s="121" t="str">
        <f t="shared" si="2"/>
        <v/>
      </c>
      <c r="AT26" s="123" t="str">
        <f t="shared" si="2"/>
        <v/>
      </c>
      <c r="AU26" s="129" t="str">
        <f t="shared" si="2"/>
        <v/>
      </c>
      <c r="AV26" s="130" t="str">
        <f t="shared" si="2"/>
        <v/>
      </c>
      <c r="AW26" s="130" t="str">
        <f t="shared" si="2"/>
        <v/>
      </c>
      <c r="AX26" s="130" t="str">
        <f t="shared" si="2"/>
        <v/>
      </c>
      <c r="AY26" s="130" t="str">
        <f t="shared" si="2"/>
        <v/>
      </c>
      <c r="AZ26" s="131" t="str">
        <f t="shared" si="2"/>
        <v/>
      </c>
      <c r="BA26" s="93" t="str">
        <f t="shared" si="2"/>
        <v/>
      </c>
      <c r="BB26" s="94" t="str">
        <f t="shared" si="2"/>
        <v/>
      </c>
      <c r="BC26" s="95" t="str">
        <f t="shared" si="2"/>
        <v/>
      </c>
      <c r="BD26" s="121" t="str">
        <f t="shared" si="2"/>
        <v/>
      </c>
      <c r="BE26" s="122" t="str">
        <f t="shared" si="2"/>
        <v/>
      </c>
      <c r="BF26" s="123" t="str">
        <f t="shared" si="2"/>
        <v/>
      </c>
      <c r="BG26" s="124" t="str">
        <f t="shared" si="2"/>
        <v/>
      </c>
      <c r="BH26" s="125" t="str">
        <f t="shared" si="2"/>
        <v/>
      </c>
      <c r="BI26" s="126" t="str">
        <f t="shared" si="3"/>
        <v/>
      </c>
      <c r="BJ26" s="127" t="str">
        <f t="shared" si="3"/>
        <v/>
      </c>
      <c r="BK26" s="128" t="str">
        <f t="shared" si="3"/>
        <v/>
      </c>
      <c r="BL26" s="2"/>
    </row>
    <row r="27" spans="1:64" x14ac:dyDescent="0.25">
      <c r="A27" s="1"/>
      <c r="B27" s="49"/>
      <c r="C27" s="96"/>
      <c r="D27" s="98"/>
      <c r="E27" s="132"/>
      <c r="F27" s="133"/>
      <c r="G27" s="133"/>
      <c r="H27" s="133"/>
      <c r="I27" s="133"/>
      <c r="J27" s="134"/>
      <c r="K27" s="93"/>
      <c r="L27" s="94"/>
      <c r="M27" s="95"/>
      <c r="N27" s="96"/>
      <c r="O27" s="97"/>
      <c r="P27" s="98"/>
      <c r="Q27" s="135"/>
      <c r="R27" s="136"/>
      <c r="S27" s="137"/>
      <c r="T27" s="42">
        <f t="shared" si="5"/>
        <v>0</v>
      </c>
      <c r="U27" s="53"/>
      <c r="V27" s="2"/>
      <c r="W27" s="54" t="str">
        <f t="shared" si="0"/>
        <v/>
      </c>
      <c r="X27" s="121" t="str">
        <f t="shared" si="0"/>
        <v/>
      </c>
      <c r="Y27" s="123" t="str">
        <f t="shared" si="0"/>
        <v/>
      </c>
      <c r="Z27" s="129" t="str">
        <f t="shared" si="0"/>
        <v/>
      </c>
      <c r="AA27" s="130" t="str">
        <f t="shared" si="0"/>
        <v/>
      </c>
      <c r="AB27" s="130" t="str">
        <f t="shared" si="0"/>
        <v/>
      </c>
      <c r="AC27" s="130" t="str">
        <f t="shared" si="0"/>
        <v/>
      </c>
      <c r="AD27" s="130" t="str">
        <f t="shared" si="0"/>
        <v/>
      </c>
      <c r="AE27" s="131" t="str">
        <f t="shared" si="0"/>
        <v/>
      </c>
      <c r="AF27" s="93" t="str">
        <f t="shared" si="0"/>
        <v/>
      </c>
      <c r="AG27" s="94" t="str">
        <f t="shared" si="0"/>
        <v/>
      </c>
      <c r="AH27" s="95" t="str">
        <f t="shared" si="0"/>
        <v/>
      </c>
      <c r="AI27" s="121" t="str">
        <f t="shared" si="0"/>
        <v/>
      </c>
      <c r="AJ27" s="122" t="str">
        <f t="shared" si="0"/>
        <v/>
      </c>
      <c r="AK27" s="123" t="str">
        <f t="shared" si="0"/>
        <v/>
      </c>
      <c r="AL27" s="124" t="str">
        <f t="shared" si="0"/>
        <v/>
      </c>
      <c r="AM27" s="125" t="str">
        <f t="shared" si="1"/>
        <v/>
      </c>
      <c r="AN27" s="126" t="str">
        <f t="shared" si="1"/>
        <v/>
      </c>
      <c r="AO27" s="127" t="str">
        <f t="shared" si="1"/>
        <v/>
      </c>
      <c r="AP27" s="128" t="str">
        <f t="shared" si="1"/>
        <v/>
      </c>
      <c r="AQ27" s="2"/>
      <c r="AR27" s="54" t="str">
        <f t="shared" si="4"/>
        <v/>
      </c>
      <c r="AS27" s="121" t="str">
        <f t="shared" si="2"/>
        <v/>
      </c>
      <c r="AT27" s="123" t="str">
        <f t="shared" si="2"/>
        <v/>
      </c>
      <c r="AU27" s="129" t="str">
        <f t="shared" si="2"/>
        <v/>
      </c>
      <c r="AV27" s="130" t="str">
        <f t="shared" si="2"/>
        <v/>
      </c>
      <c r="AW27" s="130" t="str">
        <f t="shared" si="2"/>
        <v/>
      </c>
      <c r="AX27" s="130" t="str">
        <f t="shared" si="2"/>
        <v/>
      </c>
      <c r="AY27" s="130" t="str">
        <f t="shared" si="2"/>
        <v/>
      </c>
      <c r="AZ27" s="131" t="str">
        <f t="shared" si="2"/>
        <v/>
      </c>
      <c r="BA27" s="93" t="str">
        <f t="shared" si="2"/>
        <v/>
      </c>
      <c r="BB27" s="94" t="str">
        <f t="shared" si="2"/>
        <v/>
      </c>
      <c r="BC27" s="95" t="str">
        <f t="shared" si="2"/>
        <v/>
      </c>
      <c r="BD27" s="121" t="str">
        <f t="shared" si="2"/>
        <v/>
      </c>
      <c r="BE27" s="122" t="str">
        <f t="shared" si="2"/>
        <v/>
      </c>
      <c r="BF27" s="123" t="str">
        <f t="shared" si="2"/>
        <v/>
      </c>
      <c r="BG27" s="124" t="str">
        <f t="shared" si="2"/>
        <v/>
      </c>
      <c r="BH27" s="125" t="str">
        <f t="shared" si="2"/>
        <v/>
      </c>
      <c r="BI27" s="126" t="str">
        <f t="shared" si="3"/>
        <v/>
      </c>
      <c r="BJ27" s="127" t="str">
        <f t="shared" si="3"/>
        <v/>
      </c>
      <c r="BK27" s="128" t="str">
        <f t="shared" si="3"/>
        <v/>
      </c>
      <c r="BL27" s="2"/>
    </row>
    <row r="28" spans="1:64" x14ac:dyDescent="0.25">
      <c r="A28" s="1"/>
      <c r="B28" s="49"/>
      <c r="C28" s="96"/>
      <c r="D28" s="98"/>
      <c r="E28" s="132"/>
      <c r="F28" s="133"/>
      <c r="G28" s="133"/>
      <c r="H28" s="133"/>
      <c r="I28" s="133"/>
      <c r="J28" s="134"/>
      <c r="K28" s="93"/>
      <c r="L28" s="94"/>
      <c r="M28" s="95"/>
      <c r="N28" s="45"/>
      <c r="O28" s="46"/>
      <c r="P28" s="47"/>
      <c r="Q28" s="135"/>
      <c r="R28" s="136"/>
      <c r="S28" s="137"/>
      <c r="T28" s="93">
        <f t="shared" si="5"/>
        <v>0</v>
      </c>
      <c r="U28" s="138"/>
      <c r="V28" s="2"/>
      <c r="W28" s="54" t="str">
        <f t="shared" si="0"/>
        <v/>
      </c>
      <c r="X28" s="121" t="str">
        <f t="shared" si="0"/>
        <v/>
      </c>
      <c r="Y28" s="123" t="str">
        <f t="shared" si="0"/>
        <v/>
      </c>
      <c r="Z28" s="129" t="str">
        <f t="shared" si="0"/>
        <v/>
      </c>
      <c r="AA28" s="130" t="str">
        <f t="shared" si="0"/>
        <v/>
      </c>
      <c r="AB28" s="130" t="str">
        <f t="shared" si="0"/>
        <v/>
      </c>
      <c r="AC28" s="130" t="str">
        <f t="shared" si="0"/>
        <v/>
      </c>
      <c r="AD28" s="130" t="str">
        <f t="shared" si="0"/>
        <v/>
      </c>
      <c r="AE28" s="131" t="str">
        <f t="shared" si="0"/>
        <v/>
      </c>
      <c r="AF28" s="93" t="str">
        <f t="shared" si="0"/>
        <v/>
      </c>
      <c r="AG28" s="94" t="str">
        <f t="shared" si="0"/>
        <v/>
      </c>
      <c r="AH28" s="95" t="str">
        <f t="shared" si="0"/>
        <v/>
      </c>
      <c r="AI28" s="121" t="str">
        <f t="shared" si="0"/>
        <v/>
      </c>
      <c r="AJ28" s="122" t="str">
        <f t="shared" si="0"/>
        <v/>
      </c>
      <c r="AK28" s="123" t="str">
        <f t="shared" si="0"/>
        <v/>
      </c>
      <c r="AL28" s="124" t="str">
        <f t="shared" si="0"/>
        <v/>
      </c>
      <c r="AM28" s="125" t="str">
        <f t="shared" si="1"/>
        <v/>
      </c>
      <c r="AN28" s="126" t="str">
        <f t="shared" si="1"/>
        <v/>
      </c>
      <c r="AO28" s="127" t="str">
        <f t="shared" si="1"/>
        <v/>
      </c>
      <c r="AP28" s="128" t="str">
        <f t="shared" si="1"/>
        <v/>
      </c>
      <c r="AQ28" s="2"/>
      <c r="AR28" s="54" t="str">
        <f t="shared" si="4"/>
        <v/>
      </c>
      <c r="AS28" s="121" t="str">
        <f t="shared" si="2"/>
        <v/>
      </c>
      <c r="AT28" s="123" t="str">
        <f t="shared" si="2"/>
        <v/>
      </c>
      <c r="AU28" s="129" t="str">
        <f t="shared" si="2"/>
        <v/>
      </c>
      <c r="AV28" s="130" t="str">
        <f t="shared" si="2"/>
        <v/>
      </c>
      <c r="AW28" s="130" t="str">
        <f t="shared" si="2"/>
        <v/>
      </c>
      <c r="AX28" s="130" t="str">
        <f t="shared" si="2"/>
        <v/>
      </c>
      <c r="AY28" s="130" t="str">
        <f t="shared" si="2"/>
        <v/>
      </c>
      <c r="AZ28" s="131" t="str">
        <f t="shared" si="2"/>
        <v/>
      </c>
      <c r="BA28" s="93" t="str">
        <f t="shared" si="2"/>
        <v/>
      </c>
      <c r="BB28" s="94" t="str">
        <f t="shared" si="2"/>
        <v/>
      </c>
      <c r="BC28" s="95" t="str">
        <f t="shared" si="2"/>
        <v/>
      </c>
      <c r="BD28" s="121" t="str">
        <f t="shared" si="2"/>
        <v/>
      </c>
      <c r="BE28" s="122" t="str">
        <f t="shared" si="2"/>
        <v/>
      </c>
      <c r="BF28" s="123" t="str">
        <f t="shared" si="2"/>
        <v/>
      </c>
      <c r="BG28" s="124" t="str">
        <f t="shared" si="2"/>
        <v/>
      </c>
      <c r="BH28" s="125" t="str">
        <f t="shared" si="2"/>
        <v/>
      </c>
      <c r="BI28" s="126" t="str">
        <f t="shared" si="3"/>
        <v/>
      </c>
      <c r="BJ28" s="127" t="str">
        <f t="shared" si="3"/>
        <v/>
      </c>
      <c r="BK28" s="128" t="str">
        <f t="shared" si="3"/>
        <v/>
      </c>
      <c r="BL28" s="2"/>
    </row>
    <row r="29" spans="1:64" x14ac:dyDescent="0.25">
      <c r="A29" s="1"/>
      <c r="B29" s="49"/>
      <c r="C29" s="96"/>
      <c r="D29" s="98"/>
      <c r="E29" s="50"/>
      <c r="F29" s="51"/>
      <c r="G29" s="51"/>
      <c r="H29" s="51"/>
      <c r="I29" s="51"/>
      <c r="J29" s="52"/>
      <c r="K29" s="42"/>
      <c r="L29" s="43"/>
      <c r="M29" s="44"/>
      <c r="N29" s="96"/>
      <c r="O29" s="97"/>
      <c r="P29" s="98"/>
      <c r="Q29" s="135"/>
      <c r="R29" s="136"/>
      <c r="S29" s="137"/>
      <c r="T29" s="93">
        <f t="shared" ref="T29" si="6">ROUND(K29*Q29,2)</f>
        <v>0</v>
      </c>
      <c r="U29" s="138"/>
      <c r="V29" s="2"/>
      <c r="W29" s="54" t="str">
        <f t="shared" si="0"/>
        <v/>
      </c>
      <c r="X29" s="121" t="str">
        <f t="shared" si="0"/>
        <v/>
      </c>
      <c r="Y29" s="123" t="str">
        <f t="shared" si="0"/>
        <v/>
      </c>
      <c r="Z29" s="129" t="str">
        <f t="shared" si="0"/>
        <v/>
      </c>
      <c r="AA29" s="130" t="str">
        <f t="shared" si="0"/>
        <v/>
      </c>
      <c r="AB29" s="130" t="str">
        <f t="shared" si="0"/>
        <v/>
      </c>
      <c r="AC29" s="130" t="str">
        <f t="shared" si="0"/>
        <v/>
      </c>
      <c r="AD29" s="130" t="str">
        <f t="shared" si="0"/>
        <v/>
      </c>
      <c r="AE29" s="131" t="str">
        <f t="shared" si="0"/>
        <v/>
      </c>
      <c r="AF29" s="93" t="str">
        <f t="shared" si="0"/>
        <v/>
      </c>
      <c r="AG29" s="94" t="str">
        <f t="shared" si="0"/>
        <v/>
      </c>
      <c r="AH29" s="95" t="str">
        <f t="shared" si="0"/>
        <v/>
      </c>
      <c r="AI29" s="121" t="str">
        <f t="shared" si="0"/>
        <v/>
      </c>
      <c r="AJ29" s="122" t="str">
        <f t="shared" si="0"/>
        <v/>
      </c>
      <c r="AK29" s="123" t="str">
        <f t="shared" si="0"/>
        <v/>
      </c>
      <c r="AL29" s="124" t="str">
        <f t="shared" si="0"/>
        <v/>
      </c>
      <c r="AM29" s="125" t="str">
        <f t="shared" si="1"/>
        <v/>
      </c>
      <c r="AN29" s="126" t="str">
        <f t="shared" si="1"/>
        <v/>
      </c>
      <c r="AO29" s="127" t="str">
        <f t="shared" si="1"/>
        <v/>
      </c>
      <c r="AP29" s="128" t="str">
        <f t="shared" si="1"/>
        <v/>
      </c>
      <c r="AQ29" s="2"/>
      <c r="AR29" s="54" t="str">
        <f t="shared" si="4"/>
        <v/>
      </c>
      <c r="AS29" s="121" t="str">
        <f t="shared" si="2"/>
        <v/>
      </c>
      <c r="AT29" s="123" t="str">
        <f t="shared" si="2"/>
        <v/>
      </c>
      <c r="AU29" s="129" t="str">
        <f t="shared" si="2"/>
        <v/>
      </c>
      <c r="AV29" s="130" t="str">
        <f t="shared" si="2"/>
        <v/>
      </c>
      <c r="AW29" s="130" t="str">
        <f t="shared" si="2"/>
        <v/>
      </c>
      <c r="AX29" s="130" t="str">
        <f t="shared" si="2"/>
        <v/>
      </c>
      <c r="AY29" s="130" t="str">
        <f t="shared" si="2"/>
        <v/>
      </c>
      <c r="AZ29" s="131" t="str">
        <f t="shared" si="2"/>
        <v/>
      </c>
      <c r="BA29" s="93" t="str">
        <f t="shared" si="2"/>
        <v/>
      </c>
      <c r="BB29" s="94" t="str">
        <f t="shared" si="2"/>
        <v/>
      </c>
      <c r="BC29" s="95" t="str">
        <f t="shared" si="2"/>
        <v/>
      </c>
      <c r="BD29" s="121" t="str">
        <f t="shared" si="2"/>
        <v/>
      </c>
      <c r="BE29" s="122" t="str">
        <f t="shared" si="2"/>
        <v/>
      </c>
      <c r="BF29" s="123" t="str">
        <f t="shared" si="2"/>
        <v/>
      </c>
      <c r="BG29" s="124" t="str">
        <f t="shared" si="2"/>
        <v/>
      </c>
      <c r="BH29" s="125" t="str">
        <f t="shared" si="2"/>
        <v/>
      </c>
      <c r="BI29" s="126" t="str">
        <f t="shared" si="3"/>
        <v/>
      </c>
      <c r="BJ29" s="127" t="str">
        <f t="shared" si="3"/>
        <v/>
      </c>
      <c r="BK29" s="128" t="str">
        <f t="shared" si="3"/>
        <v/>
      </c>
      <c r="BL29" s="2"/>
    </row>
    <row r="30" spans="1:64" x14ac:dyDescent="0.25">
      <c r="A30" s="1"/>
      <c r="B30" s="49"/>
      <c r="C30" s="96"/>
      <c r="D30" s="98"/>
      <c r="E30" s="132"/>
      <c r="F30" s="133"/>
      <c r="G30" s="133"/>
      <c r="H30" s="133"/>
      <c r="I30" s="133"/>
      <c r="J30" s="134"/>
      <c r="K30" s="93"/>
      <c r="L30" s="94"/>
      <c r="M30" s="95"/>
      <c r="N30" s="96"/>
      <c r="O30" s="97"/>
      <c r="P30" s="98"/>
      <c r="Q30" s="135"/>
      <c r="R30" s="136"/>
      <c r="S30" s="137"/>
      <c r="T30" s="93">
        <f t="shared" si="5"/>
        <v>0</v>
      </c>
      <c r="U30" s="138"/>
      <c r="V30" s="2"/>
      <c r="W30" s="54" t="str">
        <f t="shared" si="0"/>
        <v/>
      </c>
      <c r="X30" s="121" t="str">
        <f t="shared" si="0"/>
        <v/>
      </c>
      <c r="Y30" s="123" t="str">
        <f t="shared" si="0"/>
        <v/>
      </c>
      <c r="Z30" s="129" t="str">
        <f t="shared" si="0"/>
        <v/>
      </c>
      <c r="AA30" s="130" t="str">
        <f t="shared" si="0"/>
        <v/>
      </c>
      <c r="AB30" s="130" t="str">
        <f t="shared" si="0"/>
        <v/>
      </c>
      <c r="AC30" s="130" t="str">
        <f t="shared" si="0"/>
        <v/>
      </c>
      <c r="AD30" s="130" t="str">
        <f t="shared" si="0"/>
        <v/>
      </c>
      <c r="AE30" s="131" t="str">
        <f t="shared" si="0"/>
        <v/>
      </c>
      <c r="AF30" s="93" t="str">
        <f t="shared" si="0"/>
        <v/>
      </c>
      <c r="AG30" s="94" t="str">
        <f t="shared" si="0"/>
        <v/>
      </c>
      <c r="AH30" s="95" t="str">
        <f t="shared" si="0"/>
        <v/>
      </c>
      <c r="AI30" s="121" t="str">
        <f t="shared" si="0"/>
        <v/>
      </c>
      <c r="AJ30" s="122" t="str">
        <f t="shared" si="0"/>
        <v/>
      </c>
      <c r="AK30" s="123" t="str">
        <f t="shared" si="0"/>
        <v/>
      </c>
      <c r="AL30" s="124" t="str">
        <f t="shared" si="0"/>
        <v/>
      </c>
      <c r="AM30" s="125" t="str">
        <f t="shared" si="1"/>
        <v/>
      </c>
      <c r="AN30" s="126" t="str">
        <f t="shared" si="1"/>
        <v/>
      </c>
      <c r="AO30" s="127" t="str">
        <f t="shared" si="1"/>
        <v/>
      </c>
      <c r="AP30" s="128" t="str">
        <f t="shared" si="1"/>
        <v/>
      </c>
      <c r="AQ30" s="2"/>
      <c r="AR30" s="54" t="str">
        <f t="shared" si="4"/>
        <v/>
      </c>
      <c r="AS30" s="121" t="str">
        <f t="shared" si="2"/>
        <v/>
      </c>
      <c r="AT30" s="123" t="str">
        <f t="shared" si="2"/>
        <v/>
      </c>
      <c r="AU30" s="129" t="str">
        <f t="shared" si="2"/>
        <v/>
      </c>
      <c r="AV30" s="130" t="str">
        <f t="shared" si="2"/>
        <v/>
      </c>
      <c r="AW30" s="130" t="str">
        <f t="shared" si="2"/>
        <v/>
      </c>
      <c r="AX30" s="130" t="str">
        <f t="shared" si="2"/>
        <v/>
      </c>
      <c r="AY30" s="130" t="str">
        <f t="shared" si="2"/>
        <v/>
      </c>
      <c r="AZ30" s="131" t="str">
        <f t="shared" si="2"/>
        <v/>
      </c>
      <c r="BA30" s="93" t="str">
        <f t="shared" si="2"/>
        <v/>
      </c>
      <c r="BB30" s="94" t="str">
        <f t="shared" si="2"/>
        <v/>
      </c>
      <c r="BC30" s="95" t="str">
        <f t="shared" si="2"/>
        <v/>
      </c>
      <c r="BD30" s="121" t="str">
        <f t="shared" si="2"/>
        <v/>
      </c>
      <c r="BE30" s="122" t="str">
        <f t="shared" si="2"/>
        <v/>
      </c>
      <c r="BF30" s="123" t="str">
        <f t="shared" si="2"/>
        <v/>
      </c>
      <c r="BG30" s="124" t="str">
        <f t="shared" si="2"/>
        <v/>
      </c>
      <c r="BH30" s="125" t="str">
        <f t="shared" si="2"/>
        <v/>
      </c>
      <c r="BI30" s="126" t="str">
        <f t="shared" si="3"/>
        <v/>
      </c>
      <c r="BJ30" s="127" t="str">
        <f t="shared" si="3"/>
        <v/>
      </c>
      <c r="BK30" s="128" t="str">
        <f t="shared" si="3"/>
        <v/>
      </c>
      <c r="BL30" s="2"/>
    </row>
    <row r="31" spans="1:64" x14ac:dyDescent="0.25">
      <c r="A31" s="1"/>
      <c r="B31" s="49"/>
      <c r="C31" s="96"/>
      <c r="D31" s="98"/>
      <c r="E31" s="132"/>
      <c r="F31" s="133"/>
      <c r="G31" s="133"/>
      <c r="H31" s="133"/>
      <c r="I31" s="133"/>
      <c r="J31" s="134"/>
      <c r="K31" s="42"/>
      <c r="L31" s="43"/>
      <c r="M31" s="44"/>
      <c r="N31" s="96"/>
      <c r="O31" s="97"/>
      <c r="P31" s="98"/>
      <c r="Q31" s="135"/>
      <c r="R31" s="136"/>
      <c r="S31" s="137"/>
      <c r="T31" s="93">
        <f t="shared" si="5"/>
        <v>0</v>
      </c>
      <c r="U31" s="138"/>
      <c r="V31" s="2"/>
      <c r="W31" s="54" t="str">
        <f t="shared" si="0"/>
        <v/>
      </c>
      <c r="X31" s="121" t="str">
        <f t="shared" si="0"/>
        <v/>
      </c>
      <c r="Y31" s="123" t="str">
        <f t="shared" si="0"/>
        <v/>
      </c>
      <c r="Z31" s="129" t="str">
        <f t="shared" si="0"/>
        <v/>
      </c>
      <c r="AA31" s="130" t="str">
        <f t="shared" si="0"/>
        <v/>
      </c>
      <c r="AB31" s="130" t="str">
        <f t="shared" si="0"/>
        <v/>
      </c>
      <c r="AC31" s="130" t="str">
        <f t="shared" si="0"/>
        <v/>
      </c>
      <c r="AD31" s="130" t="str">
        <f t="shared" si="0"/>
        <v/>
      </c>
      <c r="AE31" s="131" t="str">
        <f t="shared" si="0"/>
        <v/>
      </c>
      <c r="AF31" s="93" t="str">
        <f t="shared" si="0"/>
        <v/>
      </c>
      <c r="AG31" s="94" t="str">
        <f t="shared" si="0"/>
        <v/>
      </c>
      <c r="AH31" s="95" t="str">
        <f t="shared" si="0"/>
        <v/>
      </c>
      <c r="AI31" s="121" t="str">
        <f t="shared" si="0"/>
        <v/>
      </c>
      <c r="AJ31" s="122" t="str">
        <f t="shared" si="0"/>
        <v/>
      </c>
      <c r="AK31" s="123" t="str">
        <f t="shared" si="0"/>
        <v/>
      </c>
      <c r="AL31" s="124" t="str">
        <f t="shared" si="0"/>
        <v/>
      </c>
      <c r="AM31" s="125" t="str">
        <f t="shared" si="1"/>
        <v/>
      </c>
      <c r="AN31" s="126" t="str">
        <f t="shared" si="1"/>
        <v/>
      </c>
      <c r="AO31" s="127" t="str">
        <f t="shared" si="1"/>
        <v/>
      </c>
      <c r="AP31" s="128" t="str">
        <f t="shared" si="1"/>
        <v/>
      </c>
      <c r="AQ31" s="2"/>
      <c r="AR31" s="54" t="str">
        <f t="shared" si="4"/>
        <v/>
      </c>
      <c r="AS31" s="121" t="str">
        <f t="shared" si="2"/>
        <v/>
      </c>
      <c r="AT31" s="123" t="str">
        <f t="shared" si="2"/>
        <v/>
      </c>
      <c r="AU31" s="129" t="str">
        <f t="shared" si="2"/>
        <v/>
      </c>
      <c r="AV31" s="130" t="str">
        <f t="shared" si="2"/>
        <v/>
      </c>
      <c r="AW31" s="130" t="str">
        <f t="shared" si="2"/>
        <v/>
      </c>
      <c r="AX31" s="130" t="str">
        <f t="shared" si="2"/>
        <v/>
      </c>
      <c r="AY31" s="130" t="str">
        <f t="shared" si="2"/>
        <v/>
      </c>
      <c r="AZ31" s="131" t="str">
        <f t="shared" si="2"/>
        <v/>
      </c>
      <c r="BA31" s="93" t="str">
        <f t="shared" si="2"/>
        <v/>
      </c>
      <c r="BB31" s="94" t="str">
        <f t="shared" si="2"/>
        <v/>
      </c>
      <c r="BC31" s="95" t="str">
        <f t="shared" si="2"/>
        <v/>
      </c>
      <c r="BD31" s="121" t="str">
        <f t="shared" si="2"/>
        <v/>
      </c>
      <c r="BE31" s="122" t="str">
        <f t="shared" si="2"/>
        <v/>
      </c>
      <c r="BF31" s="123" t="str">
        <f t="shared" si="2"/>
        <v/>
      </c>
      <c r="BG31" s="124" t="str">
        <f t="shared" si="2"/>
        <v/>
      </c>
      <c r="BH31" s="125" t="str">
        <f t="shared" si="2"/>
        <v/>
      </c>
      <c r="BI31" s="126" t="str">
        <f t="shared" si="3"/>
        <v/>
      </c>
      <c r="BJ31" s="127" t="str">
        <f t="shared" si="3"/>
        <v/>
      </c>
      <c r="BK31" s="128" t="str">
        <f t="shared" si="3"/>
        <v/>
      </c>
      <c r="BL31" s="2"/>
    </row>
    <row r="32" spans="1:64" x14ac:dyDescent="0.25">
      <c r="A32" s="1"/>
      <c r="B32" s="49"/>
      <c r="C32" s="96"/>
      <c r="D32" s="98"/>
      <c r="E32" s="132"/>
      <c r="F32" s="133"/>
      <c r="G32" s="133"/>
      <c r="H32" s="133"/>
      <c r="I32" s="133"/>
      <c r="J32" s="134"/>
      <c r="K32" s="42"/>
      <c r="L32" s="43"/>
      <c r="M32" s="44"/>
      <c r="N32" s="96"/>
      <c r="O32" s="97"/>
      <c r="P32" s="98"/>
      <c r="Q32" s="135"/>
      <c r="R32" s="136"/>
      <c r="S32" s="137"/>
      <c r="T32" s="93">
        <f t="shared" si="5"/>
        <v>0</v>
      </c>
      <c r="U32" s="138"/>
      <c r="V32" s="2"/>
      <c r="W32" s="54" t="str">
        <f t="shared" si="0"/>
        <v/>
      </c>
      <c r="X32" s="121" t="str">
        <f t="shared" si="0"/>
        <v/>
      </c>
      <c r="Y32" s="123" t="str">
        <f t="shared" si="0"/>
        <v/>
      </c>
      <c r="Z32" s="129" t="str">
        <f t="shared" si="0"/>
        <v/>
      </c>
      <c r="AA32" s="130" t="str">
        <f t="shared" si="0"/>
        <v/>
      </c>
      <c r="AB32" s="130" t="str">
        <f t="shared" si="0"/>
        <v/>
      </c>
      <c r="AC32" s="130" t="str">
        <f t="shared" si="0"/>
        <v/>
      </c>
      <c r="AD32" s="130" t="str">
        <f t="shared" si="0"/>
        <v/>
      </c>
      <c r="AE32" s="131" t="str">
        <f t="shared" si="0"/>
        <v/>
      </c>
      <c r="AF32" s="93" t="str">
        <f t="shared" si="0"/>
        <v/>
      </c>
      <c r="AG32" s="94" t="str">
        <f t="shared" si="0"/>
        <v/>
      </c>
      <c r="AH32" s="95" t="str">
        <f t="shared" si="0"/>
        <v/>
      </c>
      <c r="AI32" s="121" t="str">
        <f t="shared" si="0"/>
        <v/>
      </c>
      <c r="AJ32" s="122" t="str">
        <f t="shared" si="0"/>
        <v/>
      </c>
      <c r="AK32" s="123" t="str">
        <f t="shared" si="0"/>
        <v/>
      </c>
      <c r="AL32" s="124" t="str">
        <f t="shared" si="0"/>
        <v/>
      </c>
      <c r="AM32" s="125" t="str">
        <f t="shared" si="1"/>
        <v/>
      </c>
      <c r="AN32" s="126" t="str">
        <f t="shared" si="1"/>
        <v/>
      </c>
      <c r="AO32" s="127" t="str">
        <f t="shared" si="1"/>
        <v/>
      </c>
      <c r="AP32" s="128" t="str">
        <f t="shared" si="1"/>
        <v/>
      </c>
      <c r="AQ32" s="2"/>
      <c r="AR32" s="54" t="str">
        <f t="shared" si="4"/>
        <v/>
      </c>
      <c r="AS32" s="121" t="str">
        <f t="shared" si="2"/>
        <v/>
      </c>
      <c r="AT32" s="123" t="str">
        <f t="shared" si="2"/>
        <v/>
      </c>
      <c r="AU32" s="129" t="str">
        <f t="shared" si="2"/>
        <v/>
      </c>
      <c r="AV32" s="130" t="str">
        <f t="shared" si="2"/>
        <v/>
      </c>
      <c r="AW32" s="130" t="str">
        <f t="shared" si="2"/>
        <v/>
      </c>
      <c r="AX32" s="130" t="str">
        <f t="shared" si="2"/>
        <v/>
      </c>
      <c r="AY32" s="130" t="str">
        <f t="shared" si="2"/>
        <v/>
      </c>
      <c r="AZ32" s="131" t="str">
        <f t="shared" si="2"/>
        <v/>
      </c>
      <c r="BA32" s="93" t="str">
        <f t="shared" si="2"/>
        <v/>
      </c>
      <c r="BB32" s="94" t="str">
        <f t="shared" si="2"/>
        <v/>
      </c>
      <c r="BC32" s="95" t="str">
        <f t="shared" si="2"/>
        <v/>
      </c>
      <c r="BD32" s="121" t="str">
        <f t="shared" si="2"/>
        <v/>
      </c>
      <c r="BE32" s="122" t="str">
        <f t="shared" si="2"/>
        <v/>
      </c>
      <c r="BF32" s="123" t="str">
        <f t="shared" si="2"/>
        <v/>
      </c>
      <c r="BG32" s="124" t="str">
        <f t="shared" si="2"/>
        <v/>
      </c>
      <c r="BH32" s="125" t="str">
        <f t="shared" si="2"/>
        <v/>
      </c>
      <c r="BI32" s="126" t="str">
        <f t="shared" si="3"/>
        <v/>
      </c>
      <c r="BJ32" s="127" t="str">
        <f t="shared" si="3"/>
        <v/>
      </c>
      <c r="BK32" s="128" t="str">
        <f t="shared" si="3"/>
        <v/>
      </c>
      <c r="BL32" s="2"/>
    </row>
    <row r="33" spans="1:64" x14ac:dyDescent="0.25">
      <c r="A33" s="1"/>
      <c r="B33" s="49"/>
      <c r="C33" s="96"/>
      <c r="D33" s="98"/>
      <c r="E33" s="132"/>
      <c r="F33" s="133"/>
      <c r="G33" s="133"/>
      <c r="H33" s="133"/>
      <c r="I33" s="133"/>
      <c r="J33" s="134"/>
      <c r="K33" s="93"/>
      <c r="L33" s="94"/>
      <c r="M33" s="95"/>
      <c r="N33" s="96"/>
      <c r="O33" s="97"/>
      <c r="P33" s="98"/>
      <c r="Q33" s="135"/>
      <c r="R33" s="136"/>
      <c r="S33" s="137"/>
      <c r="T33" s="93">
        <f t="shared" si="5"/>
        <v>0</v>
      </c>
      <c r="U33" s="138"/>
      <c r="V33" s="2"/>
      <c r="W33" s="54" t="str">
        <f t="shared" si="0"/>
        <v/>
      </c>
      <c r="X33" s="121" t="str">
        <f t="shared" si="0"/>
        <v/>
      </c>
      <c r="Y33" s="123" t="str">
        <f t="shared" si="0"/>
        <v/>
      </c>
      <c r="Z33" s="129" t="str">
        <f t="shared" si="0"/>
        <v/>
      </c>
      <c r="AA33" s="130" t="str">
        <f t="shared" si="0"/>
        <v/>
      </c>
      <c r="AB33" s="130" t="str">
        <f t="shared" si="0"/>
        <v/>
      </c>
      <c r="AC33" s="130" t="str">
        <f t="shared" si="0"/>
        <v/>
      </c>
      <c r="AD33" s="130" t="str">
        <f t="shared" si="0"/>
        <v/>
      </c>
      <c r="AE33" s="131" t="str">
        <f t="shared" si="0"/>
        <v/>
      </c>
      <c r="AF33" s="93" t="str">
        <f t="shared" si="0"/>
        <v/>
      </c>
      <c r="AG33" s="94" t="str">
        <f t="shared" si="0"/>
        <v/>
      </c>
      <c r="AH33" s="95" t="str">
        <f t="shared" si="0"/>
        <v/>
      </c>
      <c r="AI33" s="121" t="str">
        <f t="shared" si="0"/>
        <v/>
      </c>
      <c r="AJ33" s="122" t="str">
        <f t="shared" si="0"/>
        <v/>
      </c>
      <c r="AK33" s="123" t="str">
        <f t="shared" si="0"/>
        <v/>
      </c>
      <c r="AL33" s="124" t="str">
        <f t="shared" si="1"/>
        <v/>
      </c>
      <c r="AM33" s="125" t="str">
        <f t="shared" si="1"/>
        <v/>
      </c>
      <c r="AN33" s="126" t="str">
        <f t="shared" si="1"/>
        <v/>
      </c>
      <c r="AO33" s="127" t="str">
        <f t="shared" si="1"/>
        <v/>
      </c>
      <c r="AP33" s="128" t="str">
        <f t="shared" si="1"/>
        <v/>
      </c>
      <c r="AQ33" s="2"/>
      <c r="AR33" s="54" t="str">
        <f t="shared" si="4"/>
        <v/>
      </c>
      <c r="AS33" s="121" t="str">
        <f t="shared" si="2"/>
        <v/>
      </c>
      <c r="AT33" s="123" t="str">
        <f t="shared" si="2"/>
        <v/>
      </c>
      <c r="AU33" s="129" t="str">
        <f t="shared" si="2"/>
        <v/>
      </c>
      <c r="AV33" s="130" t="str">
        <f t="shared" si="2"/>
        <v/>
      </c>
      <c r="AW33" s="130" t="str">
        <f t="shared" si="2"/>
        <v/>
      </c>
      <c r="AX33" s="130" t="str">
        <f t="shared" si="2"/>
        <v/>
      </c>
      <c r="AY33" s="130" t="str">
        <f t="shared" si="2"/>
        <v/>
      </c>
      <c r="AZ33" s="131" t="str">
        <f t="shared" si="2"/>
        <v/>
      </c>
      <c r="BA33" s="93" t="str">
        <f t="shared" si="2"/>
        <v/>
      </c>
      <c r="BB33" s="94" t="str">
        <f t="shared" si="2"/>
        <v/>
      </c>
      <c r="BC33" s="95" t="str">
        <f t="shared" si="2"/>
        <v/>
      </c>
      <c r="BD33" s="121" t="str">
        <f t="shared" si="2"/>
        <v/>
      </c>
      <c r="BE33" s="122" t="str">
        <f t="shared" si="2"/>
        <v/>
      </c>
      <c r="BF33" s="123" t="str">
        <f t="shared" si="2"/>
        <v/>
      </c>
      <c r="BG33" s="124" t="str">
        <f t="shared" si="2"/>
        <v/>
      </c>
      <c r="BH33" s="125" t="str">
        <f t="shared" si="2"/>
        <v/>
      </c>
      <c r="BI33" s="126" t="str">
        <f t="shared" si="3"/>
        <v/>
      </c>
      <c r="BJ33" s="127" t="str">
        <f t="shared" si="3"/>
        <v/>
      </c>
      <c r="BK33" s="128" t="str">
        <f t="shared" si="3"/>
        <v/>
      </c>
      <c r="BL33" s="2"/>
    </row>
    <row r="34" spans="1:64" x14ac:dyDescent="0.25">
      <c r="A34" s="1"/>
      <c r="B34" s="49"/>
      <c r="C34" s="96"/>
      <c r="D34" s="98"/>
      <c r="E34" s="132"/>
      <c r="F34" s="133"/>
      <c r="G34" s="133"/>
      <c r="H34" s="133"/>
      <c r="I34" s="133"/>
      <c r="J34" s="134"/>
      <c r="K34" s="93"/>
      <c r="L34" s="94"/>
      <c r="M34" s="95"/>
      <c r="N34" s="96"/>
      <c r="O34" s="97"/>
      <c r="P34" s="98"/>
      <c r="Q34" s="135"/>
      <c r="R34" s="136"/>
      <c r="S34" s="137"/>
      <c r="T34" s="93">
        <f t="shared" si="5"/>
        <v>0</v>
      </c>
      <c r="U34" s="138"/>
      <c r="V34" s="2"/>
      <c r="W34" s="54" t="str">
        <f t="shared" si="0"/>
        <v/>
      </c>
      <c r="X34" s="121" t="str">
        <f t="shared" si="0"/>
        <v/>
      </c>
      <c r="Y34" s="123" t="str">
        <f t="shared" si="0"/>
        <v/>
      </c>
      <c r="Z34" s="129" t="str">
        <f t="shared" si="0"/>
        <v/>
      </c>
      <c r="AA34" s="130" t="str">
        <f t="shared" si="0"/>
        <v/>
      </c>
      <c r="AB34" s="130" t="str">
        <f t="shared" si="0"/>
        <v/>
      </c>
      <c r="AC34" s="130" t="str">
        <f t="shared" si="0"/>
        <v/>
      </c>
      <c r="AD34" s="130" t="str">
        <f t="shared" si="0"/>
        <v/>
      </c>
      <c r="AE34" s="131" t="str">
        <f t="shared" si="0"/>
        <v/>
      </c>
      <c r="AF34" s="93" t="str">
        <f t="shared" si="0"/>
        <v/>
      </c>
      <c r="AG34" s="94" t="str">
        <f t="shared" si="0"/>
        <v/>
      </c>
      <c r="AH34" s="95" t="str">
        <f t="shared" si="0"/>
        <v/>
      </c>
      <c r="AI34" s="121" t="str">
        <f t="shared" si="0"/>
        <v/>
      </c>
      <c r="AJ34" s="122" t="str">
        <f t="shared" si="0"/>
        <v/>
      </c>
      <c r="AK34" s="123" t="str">
        <f t="shared" si="0"/>
        <v/>
      </c>
      <c r="AL34" s="124" t="str">
        <f t="shared" si="1"/>
        <v/>
      </c>
      <c r="AM34" s="125" t="str">
        <f t="shared" si="1"/>
        <v/>
      </c>
      <c r="AN34" s="126" t="str">
        <f t="shared" si="1"/>
        <v/>
      </c>
      <c r="AO34" s="127" t="str">
        <f t="shared" si="1"/>
        <v/>
      </c>
      <c r="AP34" s="128" t="str">
        <f t="shared" si="1"/>
        <v/>
      </c>
      <c r="AQ34" s="2"/>
      <c r="AR34" s="54" t="str">
        <f t="shared" si="4"/>
        <v/>
      </c>
      <c r="AS34" s="121" t="str">
        <f t="shared" si="2"/>
        <v/>
      </c>
      <c r="AT34" s="123" t="str">
        <f t="shared" si="2"/>
        <v/>
      </c>
      <c r="AU34" s="129" t="str">
        <f t="shared" si="2"/>
        <v/>
      </c>
      <c r="AV34" s="130" t="str">
        <f t="shared" si="2"/>
        <v/>
      </c>
      <c r="AW34" s="130" t="str">
        <f t="shared" si="2"/>
        <v/>
      </c>
      <c r="AX34" s="130" t="str">
        <f t="shared" si="2"/>
        <v/>
      </c>
      <c r="AY34" s="130" t="str">
        <f t="shared" si="2"/>
        <v/>
      </c>
      <c r="AZ34" s="131" t="str">
        <f t="shared" si="2"/>
        <v/>
      </c>
      <c r="BA34" s="93" t="str">
        <f t="shared" si="2"/>
        <v/>
      </c>
      <c r="BB34" s="94" t="str">
        <f t="shared" si="2"/>
        <v/>
      </c>
      <c r="BC34" s="95" t="str">
        <f t="shared" si="2"/>
        <v/>
      </c>
      <c r="BD34" s="121" t="str">
        <f t="shared" si="2"/>
        <v/>
      </c>
      <c r="BE34" s="122" t="str">
        <f t="shared" si="2"/>
        <v/>
      </c>
      <c r="BF34" s="123" t="str">
        <f t="shared" si="2"/>
        <v/>
      </c>
      <c r="BG34" s="124" t="str">
        <f t="shared" si="2"/>
        <v/>
      </c>
      <c r="BH34" s="125" t="str">
        <f t="shared" si="2"/>
        <v/>
      </c>
      <c r="BI34" s="126" t="str">
        <f t="shared" si="3"/>
        <v/>
      </c>
      <c r="BJ34" s="127" t="str">
        <f t="shared" si="3"/>
        <v/>
      </c>
      <c r="BK34" s="128" t="str">
        <f t="shared" si="3"/>
        <v/>
      </c>
      <c r="BL34" s="2"/>
    </row>
    <row r="35" spans="1:64" x14ac:dyDescent="0.25">
      <c r="A35" s="1"/>
      <c r="B35" s="49"/>
      <c r="C35" s="96"/>
      <c r="D35" s="98"/>
      <c r="E35" s="50"/>
      <c r="F35" s="51"/>
      <c r="G35" s="51"/>
      <c r="H35" s="51"/>
      <c r="I35" s="51"/>
      <c r="J35" s="52"/>
      <c r="K35" s="93"/>
      <c r="L35" s="94"/>
      <c r="M35" s="95"/>
      <c r="N35" s="96"/>
      <c r="O35" s="97"/>
      <c r="P35" s="98"/>
      <c r="Q35" s="135"/>
      <c r="R35" s="136"/>
      <c r="S35" s="137"/>
      <c r="T35" s="93">
        <f t="shared" si="5"/>
        <v>0</v>
      </c>
      <c r="U35" s="138"/>
      <c r="V35" s="2"/>
      <c r="W35" s="54" t="str">
        <f t="shared" si="0"/>
        <v/>
      </c>
      <c r="X35" s="121" t="str">
        <f t="shared" si="0"/>
        <v/>
      </c>
      <c r="Y35" s="123" t="str">
        <f t="shared" si="0"/>
        <v/>
      </c>
      <c r="Z35" s="129"/>
      <c r="AA35" s="130" t="str">
        <f t="shared" si="0"/>
        <v/>
      </c>
      <c r="AB35" s="130" t="str">
        <f t="shared" si="0"/>
        <v/>
      </c>
      <c r="AC35" s="130" t="str">
        <f t="shared" si="0"/>
        <v/>
      </c>
      <c r="AD35" s="130" t="str">
        <f t="shared" si="0"/>
        <v/>
      </c>
      <c r="AE35" s="131" t="str">
        <f t="shared" si="0"/>
        <v/>
      </c>
      <c r="AF35" s="93" t="str">
        <f t="shared" si="0"/>
        <v/>
      </c>
      <c r="AG35" s="94" t="str">
        <f t="shared" si="0"/>
        <v/>
      </c>
      <c r="AH35" s="95" t="str">
        <f t="shared" si="0"/>
        <v/>
      </c>
      <c r="AI35" s="121" t="str">
        <f t="shared" si="0"/>
        <v/>
      </c>
      <c r="AJ35" s="122" t="str">
        <f t="shared" si="0"/>
        <v/>
      </c>
      <c r="AK35" s="123" t="str">
        <f t="shared" si="0"/>
        <v/>
      </c>
      <c r="AL35" s="124" t="str">
        <f t="shared" si="1"/>
        <v/>
      </c>
      <c r="AM35" s="125" t="str">
        <f t="shared" si="1"/>
        <v/>
      </c>
      <c r="AN35" s="126" t="str">
        <f t="shared" si="1"/>
        <v/>
      </c>
      <c r="AO35" s="127" t="str">
        <f t="shared" si="1"/>
        <v/>
      </c>
      <c r="AP35" s="128" t="str">
        <f t="shared" si="1"/>
        <v/>
      </c>
      <c r="AQ35" s="2"/>
      <c r="AR35" s="54" t="str">
        <f t="shared" si="4"/>
        <v/>
      </c>
      <c r="AS35" s="121" t="str">
        <f t="shared" si="2"/>
        <v/>
      </c>
      <c r="AT35" s="123" t="str">
        <f t="shared" si="2"/>
        <v/>
      </c>
      <c r="AU35" s="129" t="str">
        <f t="shared" si="2"/>
        <v/>
      </c>
      <c r="AV35" s="130" t="str">
        <f t="shared" si="2"/>
        <v/>
      </c>
      <c r="AW35" s="130" t="str">
        <f t="shared" si="2"/>
        <v/>
      </c>
      <c r="AX35" s="130" t="str">
        <f t="shared" si="2"/>
        <v/>
      </c>
      <c r="AY35" s="130" t="str">
        <f t="shared" si="2"/>
        <v/>
      </c>
      <c r="AZ35" s="131" t="str">
        <f t="shared" si="2"/>
        <v/>
      </c>
      <c r="BA35" s="93" t="str">
        <f t="shared" si="2"/>
        <v/>
      </c>
      <c r="BB35" s="94" t="str">
        <f t="shared" si="2"/>
        <v/>
      </c>
      <c r="BC35" s="95" t="str">
        <f t="shared" si="2"/>
        <v/>
      </c>
      <c r="BD35" s="121" t="str">
        <f t="shared" si="2"/>
        <v/>
      </c>
      <c r="BE35" s="122" t="str">
        <f t="shared" si="2"/>
        <v/>
      </c>
      <c r="BF35" s="123" t="str">
        <f t="shared" si="2"/>
        <v/>
      </c>
      <c r="BG35" s="124" t="str">
        <f t="shared" si="2"/>
        <v/>
      </c>
      <c r="BH35" s="125" t="str">
        <f t="shared" si="2"/>
        <v/>
      </c>
      <c r="BI35" s="126" t="str">
        <f t="shared" si="3"/>
        <v/>
      </c>
      <c r="BJ35" s="127" t="str">
        <f t="shared" si="3"/>
        <v/>
      </c>
      <c r="BK35" s="128" t="str">
        <f t="shared" si="3"/>
        <v/>
      </c>
      <c r="BL35" s="2"/>
    </row>
    <row r="36" spans="1:64" x14ac:dyDescent="0.25">
      <c r="A36" s="1"/>
      <c r="B36" s="49"/>
      <c r="C36" s="96"/>
      <c r="D36" s="98"/>
      <c r="E36" s="132"/>
      <c r="F36" s="133"/>
      <c r="G36" s="133"/>
      <c r="H36" s="133"/>
      <c r="I36" s="133"/>
      <c r="J36" s="134"/>
      <c r="K36" s="93"/>
      <c r="L36" s="94"/>
      <c r="M36" s="95"/>
      <c r="N36" s="96"/>
      <c r="O36" s="97"/>
      <c r="P36" s="98"/>
      <c r="Q36" s="135"/>
      <c r="R36" s="136"/>
      <c r="S36" s="137"/>
      <c r="T36" s="93">
        <f t="shared" si="5"/>
        <v>0</v>
      </c>
      <c r="U36" s="138"/>
      <c r="V36" s="2"/>
      <c r="W36" s="54" t="str">
        <f t="shared" si="0"/>
        <v/>
      </c>
      <c r="X36" s="121" t="str">
        <f t="shared" si="0"/>
        <v/>
      </c>
      <c r="Y36" s="123" t="str">
        <f t="shared" si="0"/>
        <v/>
      </c>
      <c r="Z36" s="129" t="str">
        <f t="shared" ref="Z36:AO41" si="7">IF(E36=0,"",E36)</f>
        <v/>
      </c>
      <c r="AA36" s="130" t="str">
        <f t="shared" si="7"/>
        <v/>
      </c>
      <c r="AB36" s="130" t="str">
        <f t="shared" si="7"/>
        <v/>
      </c>
      <c r="AC36" s="130" t="str">
        <f t="shared" si="7"/>
        <v/>
      </c>
      <c r="AD36" s="130" t="str">
        <f t="shared" si="7"/>
        <v/>
      </c>
      <c r="AE36" s="131" t="str">
        <f t="shared" si="7"/>
        <v/>
      </c>
      <c r="AF36" s="93" t="str">
        <f t="shared" si="7"/>
        <v/>
      </c>
      <c r="AG36" s="94" t="str">
        <f t="shared" si="7"/>
        <v/>
      </c>
      <c r="AH36" s="95" t="str">
        <f t="shared" si="7"/>
        <v/>
      </c>
      <c r="AI36" s="121" t="str">
        <f t="shared" si="7"/>
        <v/>
      </c>
      <c r="AJ36" s="122" t="str">
        <f t="shared" si="7"/>
        <v/>
      </c>
      <c r="AK36" s="123" t="str">
        <f t="shared" si="7"/>
        <v/>
      </c>
      <c r="AL36" s="124" t="str">
        <f t="shared" si="7"/>
        <v/>
      </c>
      <c r="AM36" s="125" t="str">
        <f t="shared" si="7"/>
        <v/>
      </c>
      <c r="AN36" s="126" t="str">
        <f t="shared" si="7"/>
        <v/>
      </c>
      <c r="AO36" s="127" t="str">
        <f t="shared" si="7"/>
        <v/>
      </c>
      <c r="AP36" s="128" t="str">
        <f t="shared" ref="AL36:AP41" si="8">IF(U36=0,"",U36)</f>
        <v/>
      </c>
      <c r="AQ36" s="2"/>
      <c r="AR36" s="54" t="str">
        <f t="shared" si="4"/>
        <v/>
      </c>
      <c r="AS36" s="121" t="str">
        <f t="shared" si="4"/>
        <v/>
      </c>
      <c r="AT36" s="123" t="str">
        <f t="shared" si="4"/>
        <v/>
      </c>
      <c r="AU36" s="129" t="str">
        <f t="shared" si="4"/>
        <v/>
      </c>
      <c r="AV36" s="130" t="str">
        <f t="shared" si="4"/>
        <v/>
      </c>
      <c r="AW36" s="130" t="str">
        <f t="shared" si="4"/>
        <v/>
      </c>
      <c r="AX36" s="130" t="str">
        <f t="shared" si="4"/>
        <v/>
      </c>
      <c r="AY36" s="130" t="str">
        <f t="shared" si="4"/>
        <v/>
      </c>
      <c r="AZ36" s="131" t="str">
        <f t="shared" si="4"/>
        <v/>
      </c>
      <c r="BA36" s="93" t="str">
        <f t="shared" si="4"/>
        <v/>
      </c>
      <c r="BB36" s="94" t="str">
        <f t="shared" si="4"/>
        <v/>
      </c>
      <c r="BC36" s="95" t="str">
        <f t="shared" si="4"/>
        <v/>
      </c>
      <c r="BD36" s="121" t="str">
        <f t="shared" si="4"/>
        <v/>
      </c>
      <c r="BE36" s="122" t="str">
        <f t="shared" si="4"/>
        <v/>
      </c>
      <c r="BF36" s="123" t="str">
        <f t="shared" si="4"/>
        <v/>
      </c>
      <c r="BG36" s="124" t="str">
        <f t="shared" si="4"/>
        <v/>
      </c>
      <c r="BH36" s="125" t="str">
        <f t="shared" ref="BH36:BH41" si="9">IF(AM36=0,"",AM36)</f>
        <v/>
      </c>
      <c r="BI36" s="126" t="str">
        <f t="shared" si="3"/>
        <v/>
      </c>
      <c r="BJ36" s="127" t="str">
        <f t="shared" si="3"/>
        <v/>
      </c>
      <c r="BK36" s="128" t="str">
        <f t="shared" si="3"/>
        <v/>
      </c>
      <c r="BL36" s="2"/>
    </row>
    <row r="37" spans="1:64" x14ac:dyDescent="0.25">
      <c r="A37" s="1"/>
      <c r="B37" s="49"/>
      <c r="C37" s="96"/>
      <c r="D37" s="98"/>
      <c r="E37" s="132"/>
      <c r="F37" s="133"/>
      <c r="G37" s="133"/>
      <c r="H37" s="133"/>
      <c r="I37" s="133"/>
      <c r="J37" s="134"/>
      <c r="K37" s="93"/>
      <c r="L37" s="94"/>
      <c r="M37" s="95"/>
      <c r="N37" s="45"/>
      <c r="O37" s="46"/>
      <c r="P37" s="47"/>
      <c r="Q37" s="135"/>
      <c r="R37" s="136"/>
      <c r="S37" s="137"/>
      <c r="T37" s="42">
        <f t="shared" si="5"/>
        <v>0</v>
      </c>
      <c r="U37" s="53"/>
      <c r="V37" s="2"/>
      <c r="W37" s="54" t="str">
        <f t="shared" ref="W37:Y41" si="10">IF(B37=0,"",B37)</f>
        <v/>
      </c>
      <c r="X37" s="121" t="str">
        <f t="shared" si="10"/>
        <v/>
      </c>
      <c r="Y37" s="123" t="str">
        <f t="shared" si="10"/>
        <v/>
      </c>
      <c r="Z37" s="129" t="str">
        <f t="shared" si="7"/>
        <v/>
      </c>
      <c r="AA37" s="130" t="str">
        <f t="shared" si="7"/>
        <v/>
      </c>
      <c r="AB37" s="130" t="str">
        <f t="shared" si="7"/>
        <v/>
      </c>
      <c r="AC37" s="130" t="str">
        <f t="shared" si="7"/>
        <v/>
      </c>
      <c r="AD37" s="130" t="str">
        <f t="shared" si="7"/>
        <v/>
      </c>
      <c r="AE37" s="131" t="str">
        <f t="shared" si="7"/>
        <v/>
      </c>
      <c r="AF37" s="93" t="str">
        <f t="shared" si="7"/>
        <v/>
      </c>
      <c r="AG37" s="94" t="str">
        <f t="shared" si="7"/>
        <v/>
      </c>
      <c r="AH37" s="95" t="str">
        <f t="shared" si="7"/>
        <v/>
      </c>
      <c r="AI37" s="121" t="str">
        <f t="shared" si="7"/>
        <v/>
      </c>
      <c r="AJ37" s="122" t="str">
        <f t="shared" si="7"/>
        <v/>
      </c>
      <c r="AK37" s="123" t="str">
        <f t="shared" si="7"/>
        <v/>
      </c>
      <c r="AL37" s="124" t="str">
        <f t="shared" si="8"/>
        <v/>
      </c>
      <c r="AM37" s="125" t="str">
        <f t="shared" si="8"/>
        <v/>
      </c>
      <c r="AN37" s="126" t="str">
        <f t="shared" si="8"/>
        <v/>
      </c>
      <c r="AO37" s="127" t="str">
        <f t="shared" si="8"/>
        <v/>
      </c>
      <c r="AP37" s="128" t="str">
        <f t="shared" si="8"/>
        <v/>
      </c>
      <c r="AQ37" s="2"/>
      <c r="AR37" s="54" t="str">
        <f t="shared" si="4"/>
        <v/>
      </c>
      <c r="AS37" s="121" t="str">
        <f t="shared" si="4"/>
        <v/>
      </c>
      <c r="AT37" s="123" t="str">
        <f t="shared" si="4"/>
        <v/>
      </c>
      <c r="AU37" s="129" t="str">
        <f t="shared" si="4"/>
        <v/>
      </c>
      <c r="AV37" s="130" t="str">
        <f t="shared" si="4"/>
        <v/>
      </c>
      <c r="AW37" s="130" t="str">
        <f t="shared" si="4"/>
        <v/>
      </c>
      <c r="AX37" s="130" t="str">
        <f t="shared" si="4"/>
        <v/>
      </c>
      <c r="AY37" s="130" t="str">
        <f t="shared" si="4"/>
        <v/>
      </c>
      <c r="AZ37" s="131" t="str">
        <f t="shared" si="4"/>
        <v/>
      </c>
      <c r="BA37" s="93" t="str">
        <f t="shared" si="4"/>
        <v/>
      </c>
      <c r="BB37" s="94" t="str">
        <f t="shared" si="4"/>
        <v/>
      </c>
      <c r="BC37" s="95" t="str">
        <f t="shared" si="4"/>
        <v/>
      </c>
      <c r="BD37" s="121" t="str">
        <f t="shared" si="4"/>
        <v/>
      </c>
      <c r="BE37" s="122" t="str">
        <f t="shared" si="4"/>
        <v/>
      </c>
      <c r="BF37" s="123" t="str">
        <f t="shared" si="4"/>
        <v/>
      </c>
      <c r="BG37" s="124" t="str">
        <f t="shared" si="4"/>
        <v/>
      </c>
      <c r="BH37" s="125" t="str">
        <f t="shared" si="9"/>
        <v/>
      </c>
      <c r="BI37" s="126" t="str">
        <f t="shared" si="3"/>
        <v/>
      </c>
      <c r="BJ37" s="127" t="str">
        <f t="shared" si="3"/>
        <v/>
      </c>
      <c r="BK37" s="128" t="str">
        <f t="shared" si="3"/>
        <v/>
      </c>
      <c r="BL37" s="2"/>
    </row>
    <row r="38" spans="1:64" x14ac:dyDescent="0.25">
      <c r="A38" s="1"/>
      <c r="B38" s="49"/>
      <c r="C38" s="96"/>
      <c r="D38" s="98"/>
      <c r="E38" s="50"/>
      <c r="F38" s="51"/>
      <c r="G38" s="51"/>
      <c r="H38" s="51"/>
      <c r="I38" s="51"/>
      <c r="J38" s="52"/>
      <c r="K38" s="93"/>
      <c r="L38" s="94"/>
      <c r="M38" s="95"/>
      <c r="N38" s="45"/>
      <c r="O38" s="46"/>
      <c r="P38" s="47"/>
      <c r="Q38" s="135"/>
      <c r="R38" s="136"/>
      <c r="S38" s="137"/>
      <c r="T38" s="93">
        <f t="shared" si="5"/>
        <v>0</v>
      </c>
      <c r="U38" s="138"/>
      <c r="V38" s="2"/>
      <c r="W38" s="54" t="str">
        <f t="shared" si="10"/>
        <v/>
      </c>
      <c r="X38" s="121" t="str">
        <f t="shared" si="10"/>
        <v/>
      </c>
      <c r="Y38" s="123" t="str">
        <f t="shared" si="10"/>
        <v/>
      </c>
      <c r="Z38" s="129" t="str">
        <f t="shared" si="7"/>
        <v/>
      </c>
      <c r="AA38" s="130" t="str">
        <f t="shared" si="7"/>
        <v/>
      </c>
      <c r="AB38" s="130" t="str">
        <f t="shared" si="7"/>
        <v/>
      </c>
      <c r="AC38" s="130" t="str">
        <f t="shared" si="7"/>
        <v/>
      </c>
      <c r="AD38" s="130" t="str">
        <f t="shared" si="7"/>
        <v/>
      </c>
      <c r="AE38" s="131" t="str">
        <f t="shared" si="7"/>
        <v/>
      </c>
      <c r="AF38" s="93" t="str">
        <f t="shared" si="7"/>
        <v/>
      </c>
      <c r="AG38" s="94" t="str">
        <f t="shared" si="7"/>
        <v/>
      </c>
      <c r="AH38" s="95" t="str">
        <f t="shared" si="7"/>
        <v/>
      </c>
      <c r="AI38" s="121" t="str">
        <f t="shared" si="7"/>
        <v/>
      </c>
      <c r="AJ38" s="122" t="str">
        <f t="shared" si="7"/>
        <v/>
      </c>
      <c r="AK38" s="123" t="str">
        <f t="shared" si="7"/>
        <v/>
      </c>
      <c r="AL38" s="124" t="str">
        <f t="shared" si="8"/>
        <v/>
      </c>
      <c r="AM38" s="125" t="str">
        <f t="shared" si="8"/>
        <v/>
      </c>
      <c r="AN38" s="126" t="str">
        <f t="shared" si="8"/>
        <v/>
      </c>
      <c r="AO38" s="127" t="str">
        <f t="shared" si="8"/>
        <v/>
      </c>
      <c r="AP38" s="128" t="str">
        <f t="shared" si="8"/>
        <v/>
      </c>
      <c r="AQ38" s="2"/>
      <c r="AR38" s="54" t="str">
        <f t="shared" si="4"/>
        <v/>
      </c>
      <c r="AS38" s="121" t="str">
        <f t="shared" si="4"/>
        <v/>
      </c>
      <c r="AT38" s="123" t="str">
        <f t="shared" si="4"/>
        <v/>
      </c>
      <c r="AU38" s="129" t="str">
        <f t="shared" si="4"/>
        <v/>
      </c>
      <c r="AV38" s="130" t="str">
        <f t="shared" si="4"/>
        <v/>
      </c>
      <c r="AW38" s="130" t="str">
        <f t="shared" si="4"/>
        <v/>
      </c>
      <c r="AX38" s="130" t="str">
        <f t="shared" si="4"/>
        <v/>
      </c>
      <c r="AY38" s="130" t="str">
        <f t="shared" si="4"/>
        <v/>
      </c>
      <c r="AZ38" s="131" t="str">
        <f t="shared" si="4"/>
        <v/>
      </c>
      <c r="BA38" s="93" t="str">
        <f t="shared" si="4"/>
        <v/>
      </c>
      <c r="BB38" s="94" t="str">
        <f t="shared" si="4"/>
        <v/>
      </c>
      <c r="BC38" s="95" t="str">
        <f t="shared" si="4"/>
        <v/>
      </c>
      <c r="BD38" s="121" t="str">
        <f t="shared" si="4"/>
        <v/>
      </c>
      <c r="BE38" s="122" t="str">
        <f t="shared" si="4"/>
        <v/>
      </c>
      <c r="BF38" s="123" t="str">
        <f t="shared" si="4"/>
        <v/>
      </c>
      <c r="BG38" s="124" t="str">
        <f t="shared" si="4"/>
        <v/>
      </c>
      <c r="BH38" s="125" t="str">
        <f t="shared" si="9"/>
        <v/>
      </c>
      <c r="BI38" s="126" t="str">
        <f t="shared" si="3"/>
        <v/>
      </c>
      <c r="BJ38" s="127" t="str">
        <f t="shared" si="3"/>
        <v/>
      </c>
      <c r="BK38" s="128" t="str">
        <f t="shared" si="3"/>
        <v/>
      </c>
      <c r="BL38" s="2"/>
    </row>
    <row r="39" spans="1:64" x14ac:dyDescent="0.25">
      <c r="A39" s="1"/>
      <c r="B39" s="49"/>
      <c r="C39" s="96"/>
      <c r="D39" s="98"/>
      <c r="E39" s="132"/>
      <c r="F39" s="133"/>
      <c r="G39" s="133"/>
      <c r="H39" s="133"/>
      <c r="I39" s="133"/>
      <c r="J39" s="134"/>
      <c r="K39" s="93"/>
      <c r="L39" s="94"/>
      <c r="M39" s="95"/>
      <c r="N39" s="96"/>
      <c r="O39" s="97"/>
      <c r="P39" s="98"/>
      <c r="Q39" s="135"/>
      <c r="R39" s="136"/>
      <c r="S39" s="137"/>
      <c r="T39" s="93">
        <f t="shared" si="5"/>
        <v>0</v>
      </c>
      <c r="U39" s="138"/>
      <c r="V39" s="2"/>
      <c r="W39" s="54" t="str">
        <f t="shared" si="10"/>
        <v/>
      </c>
      <c r="X39" s="121" t="str">
        <f t="shared" si="10"/>
        <v/>
      </c>
      <c r="Y39" s="123" t="str">
        <f t="shared" si="10"/>
        <v/>
      </c>
      <c r="Z39" s="129" t="str">
        <f t="shared" si="7"/>
        <v/>
      </c>
      <c r="AA39" s="130" t="str">
        <f t="shared" si="7"/>
        <v/>
      </c>
      <c r="AB39" s="130" t="str">
        <f t="shared" si="7"/>
        <v/>
      </c>
      <c r="AC39" s="130" t="str">
        <f t="shared" si="7"/>
        <v/>
      </c>
      <c r="AD39" s="130" t="str">
        <f t="shared" si="7"/>
        <v/>
      </c>
      <c r="AE39" s="131" t="str">
        <f t="shared" si="7"/>
        <v/>
      </c>
      <c r="AF39" s="93" t="str">
        <f t="shared" si="7"/>
        <v/>
      </c>
      <c r="AG39" s="94" t="str">
        <f t="shared" si="7"/>
        <v/>
      </c>
      <c r="AH39" s="95" t="str">
        <f t="shared" si="7"/>
        <v/>
      </c>
      <c r="AI39" s="121" t="str">
        <f t="shared" si="7"/>
        <v/>
      </c>
      <c r="AJ39" s="122" t="str">
        <f t="shared" si="7"/>
        <v/>
      </c>
      <c r="AK39" s="123" t="str">
        <f t="shared" si="7"/>
        <v/>
      </c>
      <c r="AL39" s="124" t="str">
        <f t="shared" si="8"/>
        <v/>
      </c>
      <c r="AM39" s="125" t="str">
        <f t="shared" si="8"/>
        <v/>
      </c>
      <c r="AN39" s="126" t="str">
        <f t="shared" si="8"/>
        <v/>
      </c>
      <c r="AO39" s="127" t="str">
        <f t="shared" si="8"/>
        <v/>
      </c>
      <c r="AP39" s="128" t="str">
        <f t="shared" si="8"/>
        <v/>
      </c>
      <c r="AQ39" s="2"/>
      <c r="AR39" s="54" t="str">
        <f t="shared" si="4"/>
        <v/>
      </c>
      <c r="AS39" s="121" t="str">
        <f t="shared" si="4"/>
        <v/>
      </c>
      <c r="AT39" s="123" t="str">
        <f t="shared" si="4"/>
        <v/>
      </c>
      <c r="AU39" s="129" t="str">
        <f t="shared" si="4"/>
        <v/>
      </c>
      <c r="AV39" s="130" t="str">
        <f t="shared" si="4"/>
        <v/>
      </c>
      <c r="AW39" s="130" t="str">
        <f t="shared" si="4"/>
        <v/>
      </c>
      <c r="AX39" s="130" t="str">
        <f t="shared" si="4"/>
        <v/>
      </c>
      <c r="AY39" s="130" t="str">
        <f t="shared" si="4"/>
        <v/>
      </c>
      <c r="AZ39" s="131" t="str">
        <f t="shared" si="4"/>
        <v/>
      </c>
      <c r="BA39" s="93" t="str">
        <f t="shared" si="4"/>
        <v/>
      </c>
      <c r="BB39" s="94" t="str">
        <f t="shared" si="4"/>
        <v/>
      </c>
      <c r="BC39" s="95" t="str">
        <f t="shared" si="4"/>
        <v/>
      </c>
      <c r="BD39" s="121" t="str">
        <f t="shared" si="4"/>
        <v/>
      </c>
      <c r="BE39" s="122" t="str">
        <f t="shared" si="4"/>
        <v/>
      </c>
      <c r="BF39" s="123" t="str">
        <f t="shared" si="4"/>
        <v/>
      </c>
      <c r="BG39" s="124" t="str">
        <f t="shared" si="4"/>
        <v/>
      </c>
      <c r="BH39" s="125" t="str">
        <f t="shared" si="9"/>
        <v/>
      </c>
      <c r="BI39" s="126" t="str">
        <f t="shared" si="3"/>
        <v/>
      </c>
      <c r="BJ39" s="127" t="str">
        <f t="shared" si="3"/>
        <v/>
      </c>
      <c r="BK39" s="128" t="str">
        <f t="shared" si="3"/>
        <v/>
      </c>
      <c r="BL39" s="2"/>
    </row>
    <row r="40" spans="1:64" x14ac:dyDescent="0.25">
      <c r="A40" s="1"/>
      <c r="B40" s="49"/>
      <c r="C40" s="96"/>
      <c r="D40" s="98"/>
      <c r="E40" s="132"/>
      <c r="F40" s="133"/>
      <c r="G40" s="133"/>
      <c r="H40" s="133"/>
      <c r="I40" s="133"/>
      <c r="J40" s="134"/>
      <c r="K40" s="93"/>
      <c r="L40" s="94"/>
      <c r="M40" s="95"/>
      <c r="N40" s="96"/>
      <c r="O40" s="97"/>
      <c r="P40" s="98"/>
      <c r="Q40" s="135"/>
      <c r="R40" s="136"/>
      <c r="S40" s="137"/>
      <c r="T40" s="93">
        <f t="shared" si="5"/>
        <v>0</v>
      </c>
      <c r="U40" s="138"/>
      <c r="V40" s="2"/>
      <c r="W40" s="54" t="str">
        <f t="shared" si="10"/>
        <v/>
      </c>
      <c r="X40" s="121" t="str">
        <f t="shared" si="10"/>
        <v/>
      </c>
      <c r="Y40" s="123" t="str">
        <f t="shared" si="10"/>
        <v/>
      </c>
      <c r="Z40" s="129" t="str">
        <f t="shared" si="7"/>
        <v/>
      </c>
      <c r="AA40" s="130" t="str">
        <f t="shared" si="7"/>
        <v/>
      </c>
      <c r="AB40" s="130" t="str">
        <f t="shared" si="7"/>
        <v/>
      </c>
      <c r="AC40" s="130" t="str">
        <f t="shared" si="7"/>
        <v/>
      </c>
      <c r="AD40" s="130" t="str">
        <f t="shared" si="7"/>
        <v/>
      </c>
      <c r="AE40" s="131" t="str">
        <f t="shared" si="7"/>
        <v/>
      </c>
      <c r="AF40" s="93" t="str">
        <f t="shared" si="7"/>
        <v/>
      </c>
      <c r="AG40" s="94" t="str">
        <f t="shared" si="7"/>
        <v/>
      </c>
      <c r="AH40" s="95" t="str">
        <f t="shared" si="7"/>
        <v/>
      </c>
      <c r="AI40" s="121" t="str">
        <f t="shared" si="7"/>
        <v/>
      </c>
      <c r="AJ40" s="122" t="str">
        <f t="shared" si="7"/>
        <v/>
      </c>
      <c r="AK40" s="123" t="str">
        <f t="shared" si="7"/>
        <v/>
      </c>
      <c r="AL40" s="124" t="str">
        <f t="shared" si="8"/>
        <v/>
      </c>
      <c r="AM40" s="125" t="str">
        <f t="shared" si="8"/>
        <v/>
      </c>
      <c r="AN40" s="126" t="str">
        <f t="shared" si="8"/>
        <v/>
      </c>
      <c r="AO40" s="127" t="str">
        <f t="shared" si="8"/>
        <v/>
      </c>
      <c r="AP40" s="128" t="str">
        <f t="shared" si="8"/>
        <v/>
      </c>
      <c r="AQ40" s="2"/>
      <c r="AR40" s="54" t="str">
        <f t="shared" si="4"/>
        <v/>
      </c>
      <c r="AS40" s="121" t="str">
        <f t="shared" si="4"/>
        <v/>
      </c>
      <c r="AT40" s="123" t="str">
        <f t="shared" si="4"/>
        <v/>
      </c>
      <c r="AU40" s="129" t="str">
        <f t="shared" si="4"/>
        <v/>
      </c>
      <c r="AV40" s="130" t="str">
        <f t="shared" si="4"/>
        <v/>
      </c>
      <c r="AW40" s="130" t="str">
        <f t="shared" si="4"/>
        <v/>
      </c>
      <c r="AX40" s="130" t="str">
        <f t="shared" si="4"/>
        <v/>
      </c>
      <c r="AY40" s="130" t="str">
        <f t="shared" si="4"/>
        <v/>
      </c>
      <c r="AZ40" s="131" t="str">
        <f t="shared" si="4"/>
        <v/>
      </c>
      <c r="BA40" s="93" t="str">
        <f t="shared" si="4"/>
        <v/>
      </c>
      <c r="BB40" s="94" t="str">
        <f t="shared" si="4"/>
        <v/>
      </c>
      <c r="BC40" s="95" t="str">
        <f t="shared" si="4"/>
        <v/>
      </c>
      <c r="BD40" s="121" t="str">
        <f t="shared" si="4"/>
        <v/>
      </c>
      <c r="BE40" s="122" t="str">
        <f t="shared" si="4"/>
        <v/>
      </c>
      <c r="BF40" s="123" t="str">
        <f t="shared" si="4"/>
        <v/>
      </c>
      <c r="BG40" s="124" t="str">
        <f t="shared" si="4"/>
        <v/>
      </c>
      <c r="BH40" s="125" t="str">
        <f t="shared" si="9"/>
        <v/>
      </c>
      <c r="BI40" s="126" t="str">
        <f t="shared" si="3"/>
        <v/>
      </c>
      <c r="BJ40" s="127" t="str">
        <f t="shared" si="3"/>
        <v/>
      </c>
      <c r="BK40" s="128" t="str">
        <f t="shared" si="3"/>
        <v/>
      </c>
      <c r="BL40" s="2"/>
    </row>
    <row r="41" spans="1:64" x14ac:dyDescent="0.25">
      <c r="A41" s="1"/>
      <c r="B41" s="55"/>
      <c r="C41" s="141"/>
      <c r="D41" s="142"/>
      <c r="E41" s="143"/>
      <c r="F41" s="144"/>
      <c r="G41" s="144"/>
      <c r="H41" s="144"/>
      <c r="I41" s="144"/>
      <c r="J41" s="145"/>
      <c r="K41" s="146"/>
      <c r="L41" s="147"/>
      <c r="M41" s="148"/>
      <c r="N41" s="141"/>
      <c r="O41" s="149"/>
      <c r="P41" s="142"/>
      <c r="Q41" s="150"/>
      <c r="R41" s="151"/>
      <c r="S41" s="152"/>
      <c r="T41" s="146">
        <f t="shared" si="5"/>
        <v>0</v>
      </c>
      <c r="U41" s="174"/>
      <c r="V41" s="2"/>
      <c r="W41" s="56" t="str">
        <f t="shared" si="10"/>
        <v/>
      </c>
      <c r="X41" s="165" t="str">
        <f t="shared" si="10"/>
        <v/>
      </c>
      <c r="Y41" s="166" t="str">
        <f t="shared" si="10"/>
        <v/>
      </c>
      <c r="Z41" s="167" t="str">
        <f t="shared" si="7"/>
        <v/>
      </c>
      <c r="AA41" s="168" t="str">
        <f t="shared" si="7"/>
        <v/>
      </c>
      <c r="AB41" s="168" t="str">
        <f t="shared" si="7"/>
        <v/>
      </c>
      <c r="AC41" s="168" t="str">
        <f t="shared" si="7"/>
        <v/>
      </c>
      <c r="AD41" s="168" t="str">
        <f t="shared" si="7"/>
        <v/>
      </c>
      <c r="AE41" s="169" t="str">
        <f t="shared" si="7"/>
        <v/>
      </c>
      <c r="AF41" s="146" t="str">
        <f t="shared" si="7"/>
        <v/>
      </c>
      <c r="AG41" s="147" t="str">
        <f t="shared" si="7"/>
        <v/>
      </c>
      <c r="AH41" s="148" t="str">
        <f t="shared" si="7"/>
        <v/>
      </c>
      <c r="AI41" s="165" t="str">
        <f t="shared" si="7"/>
        <v/>
      </c>
      <c r="AJ41" s="170" t="str">
        <f t="shared" si="7"/>
        <v/>
      </c>
      <c r="AK41" s="166" t="str">
        <f t="shared" si="7"/>
        <v/>
      </c>
      <c r="AL41" s="171" t="str">
        <f t="shared" si="8"/>
        <v/>
      </c>
      <c r="AM41" s="172" t="str">
        <f t="shared" si="8"/>
        <v/>
      </c>
      <c r="AN41" s="173" t="str">
        <f t="shared" si="8"/>
        <v/>
      </c>
      <c r="AO41" s="153" t="str">
        <f t="shared" si="8"/>
        <v/>
      </c>
      <c r="AP41" s="154" t="str">
        <f t="shared" si="8"/>
        <v/>
      </c>
      <c r="AQ41" s="2"/>
      <c r="AR41" s="56" t="str">
        <f t="shared" si="4"/>
        <v/>
      </c>
      <c r="AS41" s="165" t="str">
        <f t="shared" si="4"/>
        <v/>
      </c>
      <c r="AT41" s="166" t="str">
        <f t="shared" si="4"/>
        <v/>
      </c>
      <c r="AU41" s="167" t="str">
        <f t="shared" si="4"/>
        <v/>
      </c>
      <c r="AV41" s="168" t="str">
        <f t="shared" si="4"/>
        <v/>
      </c>
      <c r="AW41" s="168" t="str">
        <f t="shared" si="4"/>
        <v/>
      </c>
      <c r="AX41" s="168" t="str">
        <f t="shared" si="4"/>
        <v/>
      </c>
      <c r="AY41" s="168" t="str">
        <f t="shared" si="4"/>
        <v/>
      </c>
      <c r="AZ41" s="169" t="str">
        <f t="shared" si="4"/>
        <v/>
      </c>
      <c r="BA41" s="146" t="str">
        <f t="shared" si="4"/>
        <v/>
      </c>
      <c r="BB41" s="147" t="str">
        <f t="shared" si="4"/>
        <v/>
      </c>
      <c r="BC41" s="148" t="str">
        <f t="shared" si="4"/>
        <v/>
      </c>
      <c r="BD41" s="165" t="str">
        <f t="shared" si="4"/>
        <v/>
      </c>
      <c r="BE41" s="170" t="str">
        <f t="shared" si="4"/>
        <v/>
      </c>
      <c r="BF41" s="166" t="str">
        <f t="shared" si="4"/>
        <v/>
      </c>
      <c r="BG41" s="171" t="str">
        <f t="shared" si="4"/>
        <v/>
      </c>
      <c r="BH41" s="172" t="str">
        <f t="shared" si="9"/>
        <v/>
      </c>
      <c r="BI41" s="173" t="str">
        <f t="shared" si="3"/>
        <v/>
      </c>
      <c r="BJ41" s="153" t="str">
        <f t="shared" si="3"/>
        <v/>
      </c>
      <c r="BK41" s="154" t="str">
        <f t="shared" si="3"/>
        <v/>
      </c>
      <c r="BL41" s="2"/>
    </row>
    <row r="42" spans="1:64" ht="3" customHeight="1" x14ac:dyDescent="0.25">
      <c r="A42" s="1"/>
      <c r="M42" s="57"/>
      <c r="N42" s="58"/>
      <c r="O42" s="39"/>
      <c r="P42" s="39"/>
      <c r="T42" s="59"/>
      <c r="U42" s="60"/>
      <c r="V42" s="2"/>
      <c r="AH42" s="57"/>
      <c r="AI42" s="58"/>
      <c r="AJ42" s="39"/>
      <c r="AK42" s="39"/>
      <c r="AO42" s="59"/>
      <c r="AP42" s="60"/>
      <c r="AQ42" s="2"/>
      <c r="BC42" s="57"/>
      <c r="BD42" s="58"/>
      <c r="BE42" s="39"/>
      <c r="BF42" s="39"/>
      <c r="BJ42" s="59"/>
      <c r="BK42" s="60"/>
      <c r="BL42" s="2"/>
    </row>
    <row r="43" spans="1:64" ht="33.75" customHeight="1" thickBot="1" x14ac:dyDescent="0.3">
      <c r="A43" s="1"/>
      <c r="B43" s="61" t="s">
        <v>27</v>
      </c>
      <c r="C43" s="155" t="str">
        <f>"("&amp;BAHTTEXT(T48)&amp;")"</f>
        <v>(ศูนย์บาทถ้วน)</v>
      </c>
      <c r="D43" s="155"/>
      <c r="E43" s="155"/>
      <c r="F43" s="155"/>
      <c r="G43" s="155"/>
      <c r="H43" s="155"/>
      <c r="I43" s="155"/>
      <c r="J43" s="155"/>
      <c r="K43" s="155"/>
      <c r="L43" s="156"/>
      <c r="M43" s="57"/>
      <c r="N43" s="157" t="s">
        <v>28</v>
      </c>
      <c r="O43" s="158"/>
      <c r="P43" s="158"/>
      <c r="Q43" s="158"/>
      <c r="R43" s="158"/>
      <c r="S43" s="62"/>
      <c r="T43" s="159">
        <f>SUM(T20:U42)</f>
        <v>0</v>
      </c>
      <c r="U43" s="160"/>
      <c r="V43" s="2"/>
      <c r="W43" s="61" t="s">
        <v>27</v>
      </c>
      <c r="X43" s="155" t="str">
        <f>"("&amp;BAHTTEXT(AO48)&amp;")"</f>
        <v>(ศูนย์บาทถ้วน)</v>
      </c>
      <c r="Y43" s="155"/>
      <c r="Z43" s="155"/>
      <c r="AA43" s="155"/>
      <c r="AB43" s="155"/>
      <c r="AC43" s="155"/>
      <c r="AD43" s="155"/>
      <c r="AE43" s="155"/>
      <c r="AF43" s="155"/>
      <c r="AG43" s="156"/>
      <c r="AH43" s="57"/>
      <c r="AI43" s="161" t="s">
        <v>28</v>
      </c>
      <c r="AJ43" s="162"/>
      <c r="AK43" s="162"/>
      <c r="AL43" s="162"/>
      <c r="AM43" s="162"/>
      <c r="AN43" s="62"/>
      <c r="AO43" s="163">
        <f>SUM(AO20:AP42)</f>
        <v>0</v>
      </c>
      <c r="AP43" s="164"/>
      <c r="AQ43" s="2"/>
      <c r="AR43" s="61" t="s">
        <v>27</v>
      </c>
      <c r="AS43" s="155" t="e">
        <f>"("&amp;BAHTTEXT(#REF!)&amp;")"</f>
        <v>#REF!</v>
      </c>
      <c r="AT43" s="155"/>
      <c r="AU43" s="155"/>
      <c r="AV43" s="155"/>
      <c r="AW43" s="155"/>
      <c r="AX43" s="155"/>
      <c r="AY43" s="155"/>
      <c r="AZ43" s="155"/>
      <c r="BA43" s="155"/>
      <c r="BB43" s="156"/>
      <c r="BC43" s="57"/>
      <c r="BD43" s="161" t="s">
        <v>28</v>
      </c>
      <c r="BE43" s="162"/>
      <c r="BF43" s="162"/>
      <c r="BG43" s="162"/>
      <c r="BH43" s="162"/>
      <c r="BI43" s="62"/>
      <c r="BJ43" s="163">
        <f>SUM(BJ20:BK42)</f>
        <v>0</v>
      </c>
      <c r="BK43" s="164"/>
      <c r="BL43" s="2"/>
    </row>
    <row r="44" spans="1:64" ht="17.25" customHeight="1" thickTop="1" x14ac:dyDescent="0.25">
      <c r="A44" s="1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N44" s="190" t="s">
        <v>29</v>
      </c>
      <c r="O44" s="191"/>
      <c r="P44" s="191"/>
      <c r="Q44" s="191"/>
      <c r="R44" s="191"/>
      <c r="S44" s="192"/>
      <c r="T44" s="196"/>
      <c r="U44" s="197"/>
      <c r="V44" s="2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I44" s="190" t="str">
        <f>N44</f>
        <v xml:space="preserve">ราคาสินค้าก่อน ภาษีมูลค่าเพิ่มexcluding vat
</v>
      </c>
      <c r="AJ44" s="191"/>
      <c r="AK44" s="191"/>
      <c r="AL44" s="191"/>
      <c r="AM44" s="191"/>
      <c r="AN44" s="192"/>
      <c r="AO44" s="177">
        <f>+T44</f>
        <v>0</v>
      </c>
      <c r="AP44" s="178"/>
      <c r="AQ44" s="2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D44" s="186" t="s">
        <v>30</v>
      </c>
      <c r="BE44" s="187"/>
      <c r="BF44" s="187"/>
      <c r="BG44" s="187"/>
      <c r="BH44" s="187"/>
      <c r="BI44" s="175">
        <f>IF(S44=0%,0%,S44)</f>
        <v>0</v>
      </c>
      <c r="BJ44" s="177">
        <f>+AO44</f>
        <v>0</v>
      </c>
      <c r="BK44" s="178"/>
      <c r="BL44" s="2"/>
    </row>
    <row r="45" spans="1:64" ht="17.25" customHeight="1" x14ac:dyDescent="0.2">
      <c r="A45" s="1"/>
      <c r="B45" s="64" t="s">
        <v>31</v>
      </c>
      <c r="C45" s="65" t="s">
        <v>32</v>
      </c>
      <c r="D45" s="65"/>
      <c r="E45" s="65"/>
      <c r="F45" s="63"/>
      <c r="G45" s="63"/>
      <c r="H45" s="63"/>
      <c r="I45" s="63"/>
      <c r="J45" s="63"/>
      <c r="K45" s="63"/>
      <c r="L45" s="63"/>
      <c r="N45" s="193"/>
      <c r="O45" s="194"/>
      <c r="P45" s="194"/>
      <c r="Q45" s="194"/>
      <c r="R45" s="194"/>
      <c r="S45" s="195"/>
      <c r="T45" s="198"/>
      <c r="U45" s="199"/>
      <c r="V45" s="2"/>
      <c r="W45" s="64" t="str">
        <f>B45</f>
        <v xml:space="preserve">หมายเหตุ :    </v>
      </c>
      <c r="X45" s="65" t="str">
        <f>C45</f>
        <v>-</v>
      </c>
      <c r="Y45" s="63"/>
      <c r="Z45" s="63"/>
      <c r="AA45" s="63"/>
      <c r="AB45" s="63"/>
      <c r="AC45" s="63"/>
      <c r="AD45" s="63"/>
      <c r="AE45" s="18"/>
      <c r="AF45" s="18"/>
      <c r="AG45" s="18"/>
      <c r="AI45" s="193"/>
      <c r="AJ45" s="194"/>
      <c r="AK45" s="194"/>
      <c r="AL45" s="194"/>
      <c r="AM45" s="194"/>
      <c r="AN45" s="195"/>
      <c r="AO45" s="179"/>
      <c r="AP45" s="180"/>
      <c r="AQ45" s="2"/>
      <c r="AR45" s="64" t="str">
        <f>W45</f>
        <v xml:space="preserve">หมายเหตุ :    </v>
      </c>
      <c r="AS45" s="65" t="str">
        <f>C45</f>
        <v>-</v>
      </c>
      <c r="AT45" s="63"/>
      <c r="AU45" s="63"/>
      <c r="AV45" s="63"/>
      <c r="AW45" s="63"/>
      <c r="AX45" s="63"/>
      <c r="AY45" s="63"/>
      <c r="AZ45" s="63"/>
      <c r="BA45" s="63"/>
      <c r="BB45" s="63"/>
      <c r="BD45" s="161"/>
      <c r="BE45" s="162"/>
      <c r="BF45" s="162"/>
      <c r="BG45" s="162"/>
      <c r="BH45" s="162"/>
      <c r="BI45" s="176"/>
      <c r="BJ45" s="179"/>
      <c r="BK45" s="180"/>
      <c r="BL45" s="2"/>
    </row>
    <row r="46" spans="1:64" ht="17.25" customHeight="1" x14ac:dyDescent="0.25">
      <c r="A46" s="1"/>
      <c r="B46" s="181" t="s">
        <v>33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N46" s="190" t="s">
        <v>43</v>
      </c>
      <c r="O46" s="191"/>
      <c r="P46" s="191"/>
      <c r="Q46" s="191"/>
      <c r="R46" s="191"/>
      <c r="S46" s="203">
        <v>7.0000000000000007E-2</v>
      </c>
      <c r="T46" s="182"/>
      <c r="U46" s="183"/>
      <c r="V46" s="2"/>
      <c r="W46" s="181" t="s">
        <v>34</v>
      </c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I46" s="190" t="str">
        <f>N46</f>
        <v>ภาษีมูลค่าเพิ่ม
VAT</v>
      </c>
      <c r="AJ46" s="191"/>
      <c r="AK46" s="191"/>
      <c r="AL46" s="191"/>
      <c r="AM46" s="191"/>
      <c r="AN46" s="208">
        <f>S46</f>
        <v>7.0000000000000007E-2</v>
      </c>
      <c r="AO46" s="184">
        <f>T46</f>
        <v>0</v>
      </c>
      <c r="AP46" s="185"/>
      <c r="AQ46" s="2"/>
      <c r="AR46" s="181" t="s">
        <v>34</v>
      </c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D46" s="186" t="s">
        <v>35</v>
      </c>
      <c r="BE46" s="187"/>
      <c r="BF46" s="187"/>
      <c r="BG46" s="187"/>
      <c r="BH46" s="187"/>
      <c r="BI46" s="188"/>
      <c r="BJ46" s="184">
        <f>AO46</f>
        <v>0</v>
      </c>
      <c r="BK46" s="185"/>
      <c r="BL46" s="2"/>
    </row>
    <row r="47" spans="1:64" ht="17.25" customHeight="1" x14ac:dyDescent="0.25">
      <c r="A47" s="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N47" s="193"/>
      <c r="O47" s="194"/>
      <c r="P47" s="194"/>
      <c r="Q47" s="194"/>
      <c r="R47" s="194"/>
      <c r="S47" s="204"/>
      <c r="T47" s="159"/>
      <c r="U47" s="160"/>
      <c r="V47" s="2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I47" s="193"/>
      <c r="AJ47" s="194"/>
      <c r="AK47" s="194"/>
      <c r="AL47" s="194"/>
      <c r="AM47" s="194"/>
      <c r="AN47" s="209"/>
      <c r="AO47" s="163"/>
      <c r="AP47" s="164"/>
      <c r="AQ47" s="2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D47" s="161"/>
      <c r="BE47" s="162"/>
      <c r="BF47" s="162"/>
      <c r="BG47" s="162"/>
      <c r="BH47" s="162"/>
      <c r="BI47" s="189"/>
      <c r="BJ47" s="163"/>
      <c r="BK47" s="164"/>
      <c r="BL47" s="2"/>
    </row>
    <row r="48" spans="1:64" ht="17.25" customHeight="1" x14ac:dyDescent="0.25">
      <c r="A48" s="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N48" s="190" t="s">
        <v>44</v>
      </c>
      <c r="O48" s="191"/>
      <c r="P48" s="191"/>
      <c r="Q48" s="191"/>
      <c r="R48" s="191"/>
      <c r="S48" s="192"/>
      <c r="T48" s="182">
        <f>T44+T46</f>
        <v>0</v>
      </c>
      <c r="U48" s="183"/>
      <c r="V48" s="2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I48" s="190" t="str">
        <f>N48</f>
        <v>ยอดเงินสุทธิ
GRAND TOTAL</v>
      </c>
      <c r="AJ48" s="191"/>
      <c r="AK48" s="191"/>
      <c r="AL48" s="191"/>
      <c r="AM48" s="191"/>
      <c r="AN48" s="192"/>
      <c r="AO48" s="184">
        <f>T48</f>
        <v>0</v>
      </c>
      <c r="AP48" s="185"/>
      <c r="AQ48" s="2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D48" s="186" t="s">
        <v>36</v>
      </c>
      <c r="BE48" s="187"/>
      <c r="BF48" s="187"/>
      <c r="BG48" s="187"/>
      <c r="BH48" s="187"/>
      <c r="BI48" s="203">
        <v>7.0000000000000007E-2</v>
      </c>
      <c r="BJ48" s="184">
        <f>AO48</f>
        <v>0</v>
      </c>
      <c r="BK48" s="185"/>
      <c r="BL48" s="2"/>
    </row>
    <row r="49" spans="1:64" ht="17.25" customHeight="1" x14ac:dyDescent="0.25">
      <c r="A49" s="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N49" s="193"/>
      <c r="O49" s="194"/>
      <c r="P49" s="194"/>
      <c r="Q49" s="194"/>
      <c r="R49" s="194"/>
      <c r="S49" s="195"/>
      <c r="T49" s="159"/>
      <c r="U49" s="160"/>
      <c r="V49" s="2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I49" s="193"/>
      <c r="AJ49" s="194"/>
      <c r="AK49" s="194"/>
      <c r="AL49" s="194"/>
      <c r="AM49" s="194"/>
      <c r="AN49" s="195"/>
      <c r="AO49" s="163"/>
      <c r="AP49" s="164"/>
      <c r="AQ49" s="2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D49" s="161"/>
      <c r="BE49" s="162"/>
      <c r="BF49" s="162"/>
      <c r="BG49" s="162"/>
      <c r="BH49" s="162"/>
      <c r="BI49" s="204"/>
      <c r="BJ49" s="163"/>
      <c r="BK49" s="164"/>
      <c r="BL49" s="2"/>
    </row>
    <row r="50" spans="1:64" ht="7.5" customHeight="1" x14ac:dyDescent="0.25">
      <c r="A50" s="1"/>
      <c r="V50" s="2"/>
      <c r="AQ50" s="2"/>
      <c r="BL50" s="2"/>
    </row>
    <row r="51" spans="1:64" ht="24.75" customHeight="1" x14ac:dyDescent="0.25">
      <c r="A51" s="1"/>
      <c r="B51" s="200" t="s">
        <v>37</v>
      </c>
      <c r="C51" s="201"/>
      <c r="D51" s="201"/>
      <c r="E51" s="201"/>
      <c r="F51" s="202"/>
      <c r="H51" s="66"/>
      <c r="I51" s="67"/>
      <c r="J51" s="67"/>
      <c r="K51" s="67"/>
      <c r="L51" s="67"/>
      <c r="M51" s="67"/>
      <c r="N51" s="67"/>
      <c r="O51" s="68"/>
      <c r="Q51" s="200" t="s">
        <v>38</v>
      </c>
      <c r="R51" s="201"/>
      <c r="S51" s="201"/>
      <c r="T51" s="201"/>
      <c r="U51" s="202"/>
      <c r="V51" s="2"/>
      <c r="W51" s="200" t="s">
        <v>37</v>
      </c>
      <c r="X51" s="201"/>
      <c r="Y51" s="201"/>
      <c r="Z51" s="201"/>
      <c r="AA51" s="202"/>
      <c r="AC51" s="66"/>
      <c r="AD51" s="67"/>
      <c r="AE51" s="67"/>
      <c r="AF51" s="67"/>
      <c r="AG51" s="67"/>
      <c r="AH51" s="67"/>
      <c r="AI51" s="67"/>
      <c r="AJ51" s="68"/>
      <c r="AL51" s="200" t="s">
        <v>38</v>
      </c>
      <c r="AM51" s="201"/>
      <c r="AN51" s="201"/>
      <c r="AO51" s="201"/>
      <c r="AP51" s="202"/>
      <c r="AQ51" s="2"/>
      <c r="AR51" s="200" t="s">
        <v>37</v>
      </c>
      <c r="AS51" s="201"/>
      <c r="AT51" s="201"/>
      <c r="AU51" s="201"/>
      <c r="AV51" s="202"/>
      <c r="AX51" s="66"/>
      <c r="AY51" s="67"/>
      <c r="AZ51" s="67"/>
      <c r="BA51" s="67"/>
      <c r="BB51" s="67"/>
      <c r="BC51" s="67"/>
      <c r="BD51" s="67"/>
      <c r="BE51" s="68"/>
      <c r="BG51" s="200" t="s">
        <v>38</v>
      </c>
      <c r="BH51" s="201"/>
      <c r="BI51" s="201"/>
      <c r="BJ51" s="201"/>
      <c r="BK51" s="202"/>
      <c r="BL51" s="2"/>
    </row>
    <row r="52" spans="1:64" s="13" customFormat="1" ht="31.5" customHeight="1" x14ac:dyDescent="0.25">
      <c r="A52" s="11"/>
      <c r="B52" s="69" t="s">
        <v>39</v>
      </c>
      <c r="C52" s="70"/>
      <c r="D52" s="70"/>
      <c r="E52" s="70"/>
      <c r="F52" s="71"/>
      <c r="H52" s="69" t="s">
        <v>40</v>
      </c>
      <c r="J52" s="210"/>
      <c r="K52" s="210"/>
      <c r="L52" s="210"/>
      <c r="M52" s="210"/>
      <c r="N52" s="210"/>
      <c r="O52" s="71"/>
      <c r="Q52" s="69"/>
      <c r="U52" s="71"/>
      <c r="V52" s="12"/>
      <c r="W52" s="69" t="s">
        <v>39</v>
      </c>
      <c r="X52" s="70"/>
      <c r="Y52" s="70"/>
      <c r="Z52" s="70"/>
      <c r="AA52" s="71"/>
      <c r="AC52" s="69" t="s">
        <v>40</v>
      </c>
      <c r="AE52" s="210"/>
      <c r="AF52" s="210"/>
      <c r="AG52" s="210"/>
      <c r="AH52" s="210"/>
      <c r="AI52" s="210"/>
      <c r="AJ52" s="71"/>
      <c r="AL52" s="69"/>
      <c r="AP52" s="71"/>
      <c r="AQ52" s="12"/>
      <c r="AR52" s="69" t="s">
        <v>39</v>
      </c>
      <c r="AS52" s="70"/>
      <c r="AT52" s="70"/>
      <c r="AU52" s="70"/>
      <c r="AV52" s="71"/>
      <c r="AX52" s="69" t="s">
        <v>40</v>
      </c>
      <c r="AZ52" s="210"/>
      <c r="BA52" s="210"/>
      <c r="BB52" s="210"/>
      <c r="BC52" s="210"/>
      <c r="BD52" s="210"/>
      <c r="BE52" s="71"/>
      <c r="BG52" s="69"/>
      <c r="BK52" s="71"/>
      <c r="BL52" s="12"/>
    </row>
    <row r="53" spans="1:64" s="13" customFormat="1" ht="19.5" customHeight="1" x14ac:dyDescent="0.25">
      <c r="A53" s="11"/>
      <c r="B53" s="69" t="s">
        <v>41</v>
      </c>
      <c r="C53" s="70"/>
      <c r="D53" s="70"/>
      <c r="E53" s="70"/>
      <c r="F53" s="71"/>
      <c r="H53" s="69" t="s">
        <v>41</v>
      </c>
      <c r="J53" s="210"/>
      <c r="K53" s="210"/>
      <c r="L53" s="210"/>
      <c r="M53" s="210"/>
      <c r="N53" s="210"/>
      <c r="O53" s="71"/>
      <c r="Q53" s="69"/>
      <c r="R53" s="70"/>
      <c r="S53" s="70"/>
      <c r="T53" s="70"/>
      <c r="U53" s="71"/>
      <c r="V53" s="12"/>
      <c r="W53" s="69" t="s">
        <v>41</v>
      </c>
      <c r="X53" s="70"/>
      <c r="Y53" s="70"/>
      <c r="Z53" s="70"/>
      <c r="AA53" s="71"/>
      <c r="AC53" s="69" t="s">
        <v>41</v>
      </c>
      <c r="AE53" s="210"/>
      <c r="AF53" s="210"/>
      <c r="AG53" s="210"/>
      <c r="AH53" s="210"/>
      <c r="AI53" s="210"/>
      <c r="AJ53" s="71"/>
      <c r="AL53" s="69"/>
      <c r="AM53" s="70"/>
      <c r="AN53" s="70"/>
      <c r="AO53" s="70"/>
      <c r="AP53" s="71"/>
      <c r="AQ53" s="12"/>
      <c r="AR53" s="69" t="s">
        <v>41</v>
      </c>
      <c r="AS53" s="70"/>
      <c r="AT53" s="70"/>
      <c r="AU53" s="70"/>
      <c r="AV53" s="71"/>
      <c r="AX53" s="69" t="s">
        <v>41</v>
      </c>
      <c r="AZ53" s="210"/>
      <c r="BA53" s="210"/>
      <c r="BB53" s="210"/>
      <c r="BC53" s="210"/>
      <c r="BD53" s="210"/>
      <c r="BE53" s="71"/>
      <c r="BG53" s="69"/>
      <c r="BH53" s="70"/>
      <c r="BI53" s="70"/>
      <c r="BJ53" s="70"/>
      <c r="BK53" s="71"/>
      <c r="BL53" s="12"/>
    </row>
    <row r="54" spans="1:64" s="17" customFormat="1" ht="19.5" customHeight="1" thickBot="1" x14ac:dyDescent="0.3">
      <c r="A54" s="14"/>
      <c r="B54" s="72"/>
      <c r="C54" s="73"/>
      <c r="D54" s="73"/>
      <c r="E54" s="73"/>
      <c r="F54" s="74"/>
      <c r="H54" s="72"/>
      <c r="I54" s="73"/>
      <c r="J54" s="73"/>
      <c r="K54" s="73"/>
      <c r="L54" s="73"/>
      <c r="M54" s="73"/>
      <c r="N54" s="73"/>
      <c r="O54" s="74"/>
      <c r="Q54" s="205" t="s">
        <v>42</v>
      </c>
      <c r="R54" s="206"/>
      <c r="S54" s="206"/>
      <c r="T54" s="206"/>
      <c r="U54" s="207"/>
      <c r="V54" s="16"/>
      <c r="W54" s="72"/>
      <c r="X54" s="73"/>
      <c r="Y54" s="73"/>
      <c r="Z54" s="73"/>
      <c r="AA54" s="74"/>
      <c r="AC54" s="72"/>
      <c r="AD54" s="73"/>
      <c r="AE54" s="73"/>
      <c r="AF54" s="73"/>
      <c r="AG54" s="73"/>
      <c r="AH54" s="73"/>
      <c r="AI54" s="73"/>
      <c r="AJ54" s="74"/>
      <c r="AL54" s="205" t="s">
        <v>42</v>
      </c>
      <c r="AM54" s="206"/>
      <c r="AN54" s="206"/>
      <c r="AO54" s="206"/>
      <c r="AP54" s="207"/>
      <c r="AQ54" s="16"/>
      <c r="AR54" s="72"/>
      <c r="AS54" s="73"/>
      <c r="AT54" s="73"/>
      <c r="AU54" s="73"/>
      <c r="AV54" s="74"/>
      <c r="AX54" s="72"/>
      <c r="AY54" s="73"/>
      <c r="AZ54" s="73"/>
      <c r="BA54" s="73"/>
      <c r="BB54" s="73"/>
      <c r="BC54" s="73"/>
      <c r="BD54" s="73"/>
      <c r="BE54" s="74"/>
      <c r="BG54" s="205" t="s">
        <v>42</v>
      </c>
      <c r="BH54" s="206"/>
      <c r="BI54" s="206"/>
      <c r="BJ54" s="206"/>
      <c r="BK54" s="207"/>
      <c r="BL54" s="16"/>
    </row>
    <row r="55" spans="1:64" ht="27" customHeight="1" thickTop="1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</sheetData>
  <sheetProtection selectLockedCells="1"/>
  <mergeCells count="465">
    <mergeCell ref="Q54:U54"/>
    <mergeCell ref="AL54:AP54"/>
    <mergeCell ref="BG54:BK54"/>
    <mergeCell ref="N46:R47"/>
    <mergeCell ref="S46:S47"/>
    <mergeCell ref="N48:S49"/>
    <mergeCell ref="AI46:AM47"/>
    <mergeCell ref="AN46:AN47"/>
    <mergeCell ref="J52:N52"/>
    <mergeCell ref="AE52:AI52"/>
    <mergeCell ref="AZ52:BD52"/>
    <mergeCell ref="J53:N53"/>
    <mergeCell ref="AE53:AI53"/>
    <mergeCell ref="AZ53:BD53"/>
    <mergeCell ref="B51:F51"/>
    <mergeCell ref="Q51:U51"/>
    <mergeCell ref="W51:AA51"/>
    <mergeCell ref="AL51:AP51"/>
    <mergeCell ref="AR51:AV51"/>
    <mergeCell ref="BG51:BK51"/>
    <mergeCell ref="BJ46:BK47"/>
    <mergeCell ref="T48:U49"/>
    <mergeCell ref="AO48:AP49"/>
    <mergeCell ref="BD48:BH49"/>
    <mergeCell ref="BI48:BI49"/>
    <mergeCell ref="BJ48:BK49"/>
    <mergeCell ref="AI48:AN49"/>
    <mergeCell ref="BI44:BI45"/>
    <mergeCell ref="BJ44:BK45"/>
    <mergeCell ref="B46:L49"/>
    <mergeCell ref="T46:U47"/>
    <mergeCell ref="W46:AG49"/>
    <mergeCell ref="AO46:AP47"/>
    <mergeCell ref="AR46:BB49"/>
    <mergeCell ref="BD46:BI47"/>
    <mergeCell ref="N44:S45"/>
    <mergeCell ref="T44:U45"/>
    <mergeCell ref="AO44:AP45"/>
    <mergeCell ref="BD44:BH45"/>
    <mergeCell ref="AI44:AN45"/>
    <mergeCell ref="BJ41:BK41"/>
    <mergeCell ref="C43:L43"/>
    <mergeCell ref="N43:R43"/>
    <mergeCell ref="T43:U43"/>
    <mergeCell ref="X43:AG43"/>
    <mergeCell ref="AI43:AM43"/>
    <mergeCell ref="AO43:AP43"/>
    <mergeCell ref="AS43:BB43"/>
    <mergeCell ref="BD43:BH43"/>
    <mergeCell ref="BJ43:BK43"/>
    <mergeCell ref="AO41:AP41"/>
    <mergeCell ref="AS41:AT41"/>
    <mergeCell ref="AU41:AZ41"/>
    <mergeCell ref="BA41:BC41"/>
    <mergeCell ref="BD41:BF41"/>
    <mergeCell ref="BG41:BI41"/>
    <mergeCell ref="T41:U41"/>
    <mergeCell ref="X41:Y41"/>
    <mergeCell ref="Z41:AE41"/>
    <mergeCell ref="AF41:AH41"/>
    <mergeCell ref="AI41:AK41"/>
    <mergeCell ref="AL41:AN41"/>
    <mergeCell ref="C41:D41"/>
    <mergeCell ref="E41:J41"/>
    <mergeCell ref="K41:M41"/>
    <mergeCell ref="N41:P41"/>
    <mergeCell ref="Q41:S41"/>
    <mergeCell ref="Z40:AE40"/>
    <mergeCell ref="AF40:AH40"/>
    <mergeCell ref="AI40:AK40"/>
    <mergeCell ref="AL40:AN40"/>
    <mergeCell ref="BD39:BF39"/>
    <mergeCell ref="BG39:BI39"/>
    <mergeCell ref="BJ39:BK39"/>
    <mergeCell ref="C40:D40"/>
    <mergeCell ref="E40:J40"/>
    <mergeCell ref="K40:M40"/>
    <mergeCell ref="N40:P40"/>
    <mergeCell ref="Q40:S40"/>
    <mergeCell ref="T40:U40"/>
    <mergeCell ref="X40:Y40"/>
    <mergeCell ref="AI39:AK39"/>
    <mergeCell ref="AL39:AN39"/>
    <mergeCell ref="AO39:AP39"/>
    <mergeCell ref="AS39:AT39"/>
    <mergeCell ref="AU39:AZ39"/>
    <mergeCell ref="BA39:BC39"/>
    <mergeCell ref="AU40:AZ40"/>
    <mergeCell ref="BA40:BC40"/>
    <mergeCell ref="BD40:BF40"/>
    <mergeCell ref="BG40:BI40"/>
    <mergeCell ref="BJ40:BK40"/>
    <mergeCell ref="AO40:AP40"/>
    <mergeCell ref="AS40:AT40"/>
    <mergeCell ref="C39:D39"/>
    <mergeCell ref="E39:J39"/>
    <mergeCell ref="K39:M39"/>
    <mergeCell ref="N39:P39"/>
    <mergeCell ref="Q39:S39"/>
    <mergeCell ref="T39:U39"/>
    <mergeCell ref="X39:Y39"/>
    <mergeCell ref="Z39:AE39"/>
    <mergeCell ref="AF39:AH39"/>
    <mergeCell ref="BJ37:BK37"/>
    <mergeCell ref="C38:D38"/>
    <mergeCell ref="K38:M38"/>
    <mergeCell ref="Q38:S38"/>
    <mergeCell ref="T38:U38"/>
    <mergeCell ref="X38:Y38"/>
    <mergeCell ref="Z38:AE38"/>
    <mergeCell ref="AF38:AH38"/>
    <mergeCell ref="AI38:AK38"/>
    <mergeCell ref="AL38:AN38"/>
    <mergeCell ref="AO37:AP37"/>
    <mergeCell ref="AS37:AT37"/>
    <mergeCell ref="AU37:AZ37"/>
    <mergeCell ref="BA37:BC37"/>
    <mergeCell ref="BD37:BF37"/>
    <mergeCell ref="BG37:BI37"/>
    <mergeCell ref="BJ38:BK38"/>
    <mergeCell ref="AO38:AP38"/>
    <mergeCell ref="AS38:AT38"/>
    <mergeCell ref="AU38:AZ38"/>
    <mergeCell ref="BA38:BC38"/>
    <mergeCell ref="BD38:BF38"/>
    <mergeCell ref="BG38:BI38"/>
    <mergeCell ref="AS36:AT36"/>
    <mergeCell ref="AU36:AZ36"/>
    <mergeCell ref="BA36:BC36"/>
    <mergeCell ref="BD36:BF36"/>
    <mergeCell ref="BG36:BI36"/>
    <mergeCell ref="T36:U36"/>
    <mergeCell ref="X36:Y36"/>
    <mergeCell ref="Z36:AE36"/>
    <mergeCell ref="AF36:AH36"/>
    <mergeCell ref="AI36:AK36"/>
    <mergeCell ref="AL36:AN36"/>
    <mergeCell ref="C37:D37"/>
    <mergeCell ref="E37:J37"/>
    <mergeCell ref="K37:M37"/>
    <mergeCell ref="Q37:S37"/>
    <mergeCell ref="X37:Y37"/>
    <mergeCell ref="Z37:AE37"/>
    <mergeCell ref="AF37:AH37"/>
    <mergeCell ref="AI37:AK37"/>
    <mergeCell ref="AL37:AN37"/>
    <mergeCell ref="AU35:AZ35"/>
    <mergeCell ref="BA35:BC35"/>
    <mergeCell ref="BD35:BF35"/>
    <mergeCell ref="BG35:BI35"/>
    <mergeCell ref="BJ35:BK35"/>
    <mergeCell ref="C36:D36"/>
    <mergeCell ref="E36:J36"/>
    <mergeCell ref="K36:M36"/>
    <mergeCell ref="N36:P36"/>
    <mergeCell ref="Q36:S36"/>
    <mergeCell ref="Z35:AE35"/>
    <mergeCell ref="AF35:AH35"/>
    <mergeCell ref="AI35:AK35"/>
    <mergeCell ref="AL35:AN35"/>
    <mergeCell ref="AO35:AP35"/>
    <mergeCell ref="AS35:AT35"/>
    <mergeCell ref="C35:D35"/>
    <mergeCell ref="K35:M35"/>
    <mergeCell ref="N35:P35"/>
    <mergeCell ref="Q35:S35"/>
    <mergeCell ref="T35:U35"/>
    <mergeCell ref="X35:Y35"/>
    <mergeCell ref="BJ36:BK36"/>
    <mergeCell ref="AO36:AP36"/>
    <mergeCell ref="BD34:BF34"/>
    <mergeCell ref="BG34:BI34"/>
    <mergeCell ref="BJ34:BK34"/>
    <mergeCell ref="X34:Y34"/>
    <mergeCell ref="Z34:AE34"/>
    <mergeCell ref="AF34:AH34"/>
    <mergeCell ref="AI34:AK34"/>
    <mergeCell ref="AL34:AN34"/>
    <mergeCell ref="AO34:AP34"/>
    <mergeCell ref="C34:D34"/>
    <mergeCell ref="E34:J34"/>
    <mergeCell ref="K34:M34"/>
    <mergeCell ref="N34:P34"/>
    <mergeCell ref="Q34:S34"/>
    <mergeCell ref="T34:U34"/>
    <mergeCell ref="AS33:AT33"/>
    <mergeCell ref="AU33:AZ33"/>
    <mergeCell ref="BA33:BC33"/>
    <mergeCell ref="C33:D33"/>
    <mergeCell ref="E33:J33"/>
    <mergeCell ref="K33:M33"/>
    <mergeCell ref="N33:P33"/>
    <mergeCell ref="Q33:S33"/>
    <mergeCell ref="T33:U33"/>
    <mergeCell ref="AS34:AT34"/>
    <mergeCell ref="AU34:AZ34"/>
    <mergeCell ref="BA34:BC34"/>
    <mergeCell ref="BD33:BF33"/>
    <mergeCell ref="BG33:BI33"/>
    <mergeCell ref="BJ33:BK33"/>
    <mergeCell ref="X33:Y33"/>
    <mergeCell ref="Z33:AE33"/>
    <mergeCell ref="AF33:AH33"/>
    <mergeCell ref="AI33:AK33"/>
    <mergeCell ref="AL33:AN33"/>
    <mergeCell ref="AO33:AP33"/>
    <mergeCell ref="BA32:BC32"/>
    <mergeCell ref="BD32:BF32"/>
    <mergeCell ref="BG32:BI32"/>
    <mergeCell ref="BJ32:BK32"/>
    <mergeCell ref="X32:Y32"/>
    <mergeCell ref="Z32:AE32"/>
    <mergeCell ref="AF32:AH32"/>
    <mergeCell ref="AI32:AK32"/>
    <mergeCell ref="AL32:AN32"/>
    <mergeCell ref="AO32:AP32"/>
    <mergeCell ref="AU31:AZ31"/>
    <mergeCell ref="BA31:BC31"/>
    <mergeCell ref="BD31:BF31"/>
    <mergeCell ref="BG31:BI31"/>
    <mergeCell ref="BJ31:BK31"/>
    <mergeCell ref="C32:D32"/>
    <mergeCell ref="E32:J32"/>
    <mergeCell ref="N32:P32"/>
    <mergeCell ref="Q32:S32"/>
    <mergeCell ref="T32:U32"/>
    <mergeCell ref="Z31:AE31"/>
    <mergeCell ref="AF31:AH31"/>
    <mergeCell ref="AI31:AK31"/>
    <mergeCell ref="AL31:AN31"/>
    <mergeCell ref="AO31:AP31"/>
    <mergeCell ref="AS31:AT31"/>
    <mergeCell ref="C31:D31"/>
    <mergeCell ref="E31:J31"/>
    <mergeCell ref="N31:P31"/>
    <mergeCell ref="Q31:S31"/>
    <mergeCell ref="T31:U31"/>
    <mergeCell ref="X31:Y31"/>
    <mergeCell ref="AS32:AT32"/>
    <mergeCell ref="AU32:AZ32"/>
    <mergeCell ref="BA30:BC30"/>
    <mergeCell ref="BD30:BF30"/>
    <mergeCell ref="BG30:BI30"/>
    <mergeCell ref="BJ30:BK30"/>
    <mergeCell ref="X30:Y30"/>
    <mergeCell ref="Z30:AE30"/>
    <mergeCell ref="AF30:AH30"/>
    <mergeCell ref="AI30:AK30"/>
    <mergeCell ref="AL30:AN30"/>
    <mergeCell ref="AO30:AP30"/>
    <mergeCell ref="BA29:BC29"/>
    <mergeCell ref="BD29:BF29"/>
    <mergeCell ref="BG29:BI29"/>
    <mergeCell ref="BJ29:BK29"/>
    <mergeCell ref="C30:D30"/>
    <mergeCell ref="E30:J30"/>
    <mergeCell ref="K30:M30"/>
    <mergeCell ref="N30:P30"/>
    <mergeCell ref="Q30:S30"/>
    <mergeCell ref="T30:U30"/>
    <mergeCell ref="AF29:AH29"/>
    <mergeCell ref="AI29:AK29"/>
    <mergeCell ref="AL29:AN29"/>
    <mergeCell ref="AO29:AP29"/>
    <mergeCell ref="AS29:AT29"/>
    <mergeCell ref="AU29:AZ29"/>
    <mergeCell ref="C29:D29"/>
    <mergeCell ref="N29:P29"/>
    <mergeCell ref="Q29:S29"/>
    <mergeCell ref="T29:U29"/>
    <mergeCell ref="X29:Y29"/>
    <mergeCell ref="Z29:AE29"/>
    <mergeCell ref="AS30:AT30"/>
    <mergeCell ref="AU30:AZ30"/>
    <mergeCell ref="BA28:BC28"/>
    <mergeCell ref="BD28:BF28"/>
    <mergeCell ref="BG28:BI28"/>
    <mergeCell ref="BJ28:BK28"/>
    <mergeCell ref="X28:Y28"/>
    <mergeCell ref="Z28:AE28"/>
    <mergeCell ref="AF28:AH28"/>
    <mergeCell ref="AI28:AK28"/>
    <mergeCell ref="AL28:AN28"/>
    <mergeCell ref="AO28:AP28"/>
    <mergeCell ref="AU27:AZ27"/>
    <mergeCell ref="BA27:BC27"/>
    <mergeCell ref="BD27:BF27"/>
    <mergeCell ref="BG27:BI27"/>
    <mergeCell ref="BJ27:BK27"/>
    <mergeCell ref="C28:D28"/>
    <mergeCell ref="E28:J28"/>
    <mergeCell ref="K28:M28"/>
    <mergeCell ref="Q28:S28"/>
    <mergeCell ref="T28:U28"/>
    <mergeCell ref="Z27:AE27"/>
    <mergeCell ref="AF27:AH27"/>
    <mergeCell ref="AI27:AK27"/>
    <mergeCell ref="AL27:AN27"/>
    <mergeCell ref="AO27:AP27"/>
    <mergeCell ref="AS27:AT27"/>
    <mergeCell ref="C27:D27"/>
    <mergeCell ref="E27:J27"/>
    <mergeCell ref="K27:M27"/>
    <mergeCell ref="N27:P27"/>
    <mergeCell ref="Q27:S27"/>
    <mergeCell ref="X27:Y27"/>
    <mergeCell ref="AS28:AT28"/>
    <mergeCell ref="AU28:AZ28"/>
    <mergeCell ref="BD26:BF26"/>
    <mergeCell ref="BG26:BI26"/>
    <mergeCell ref="BJ26:BK26"/>
    <mergeCell ref="X26:Y26"/>
    <mergeCell ref="Z26:AE26"/>
    <mergeCell ref="AF26:AH26"/>
    <mergeCell ref="AI26:AK26"/>
    <mergeCell ref="AL26:AN26"/>
    <mergeCell ref="AO26:AP26"/>
    <mergeCell ref="C26:D26"/>
    <mergeCell ref="E26:J26"/>
    <mergeCell ref="K26:M26"/>
    <mergeCell ref="N26:P26"/>
    <mergeCell ref="Q26:S26"/>
    <mergeCell ref="T26:U26"/>
    <mergeCell ref="AS25:AT25"/>
    <mergeCell ref="AU25:AZ25"/>
    <mergeCell ref="BA25:BC25"/>
    <mergeCell ref="C25:D25"/>
    <mergeCell ref="E25:J25"/>
    <mergeCell ref="K25:M25"/>
    <mergeCell ref="N25:P25"/>
    <mergeCell ref="Q25:S25"/>
    <mergeCell ref="T25:U25"/>
    <mergeCell ref="AS26:AT26"/>
    <mergeCell ref="AU26:AZ26"/>
    <mergeCell ref="BA26:BC26"/>
    <mergeCell ref="BD25:BF25"/>
    <mergeCell ref="BG25:BI25"/>
    <mergeCell ref="BJ25:BK25"/>
    <mergeCell ref="X25:Y25"/>
    <mergeCell ref="Z25:AE25"/>
    <mergeCell ref="AF25:AH25"/>
    <mergeCell ref="AI25:AK25"/>
    <mergeCell ref="AL25:AN25"/>
    <mergeCell ref="AO25:AP25"/>
    <mergeCell ref="BD24:BF24"/>
    <mergeCell ref="BG24:BI24"/>
    <mergeCell ref="BJ24:BK24"/>
    <mergeCell ref="X24:Y24"/>
    <mergeCell ref="Z24:AE24"/>
    <mergeCell ref="AF24:AH24"/>
    <mergeCell ref="AI24:AK24"/>
    <mergeCell ref="AL24:AN24"/>
    <mergeCell ref="AO24:AP24"/>
    <mergeCell ref="C24:D24"/>
    <mergeCell ref="E24:J24"/>
    <mergeCell ref="K24:M24"/>
    <mergeCell ref="N24:P24"/>
    <mergeCell ref="Q24:S24"/>
    <mergeCell ref="T24:U24"/>
    <mergeCell ref="AS23:AT23"/>
    <mergeCell ref="AU23:AZ23"/>
    <mergeCell ref="BA23:BC23"/>
    <mergeCell ref="C23:D23"/>
    <mergeCell ref="E23:J23"/>
    <mergeCell ref="K23:M23"/>
    <mergeCell ref="N23:P23"/>
    <mergeCell ref="Q23:S23"/>
    <mergeCell ref="T23:U23"/>
    <mergeCell ref="AS24:AT24"/>
    <mergeCell ref="AU24:AZ24"/>
    <mergeCell ref="BA24:BC24"/>
    <mergeCell ref="BD23:BF23"/>
    <mergeCell ref="BG23:BI23"/>
    <mergeCell ref="BJ23:BK23"/>
    <mergeCell ref="X23:Y23"/>
    <mergeCell ref="Z23:AE23"/>
    <mergeCell ref="AF23:AH23"/>
    <mergeCell ref="AI23:AK23"/>
    <mergeCell ref="AL23:AN23"/>
    <mergeCell ref="AO23:AP23"/>
    <mergeCell ref="BD22:BF22"/>
    <mergeCell ref="BG22:BI22"/>
    <mergeCell ref="BJ22:BK22"/>
    <mergeCell ref="X22:Y22"/>
    <mergeCell ref="Z22:AE22"/>
    <mergeCell ref="AF22:AH22"/>
    <mergeCell ref="AI22:AK22"/>
    <mergeCell ref="AL22:AN22"/>
    <mergeCell ref="AO22:AP22"/>
    <mergeCell ref="C22:D22"/>
    <mergeCell ref="E22:J22"/>
    <mergeCell ref="K22:M22"/>
    <mergeCell ref="N22:P22"/>
    <mergeCell ref="Q22:S22"/>
    <mergeCell ref="T22:U22"/>
    <mergeCell ref="AS21:AT21"/>
    <mergeCell ref="AU21:AZ21"/>
    <mergeCell ref="BA21:BC21"/>
    <mergeCell ref="C21:D21"/>
    <mergeCell ref="E21:J21"/>
    <mergeCell ref="K21:M21"/>
    <mergeCell ref="N21:P21"/>
    <mergeCell ref="Q21:S21"/>
    <mergeCell ref="T21:U21"/>
    <mergeCell ref="AS22:AT22"/>
    <mergeCell ref="AU22:AZ22"/>
    <mergeCell ref="BA22:BC22"/>
    <mergeCell ref="BD21:BF21"/>
    <mergeCell ref="BG21:BI21"/>
    <mergeCell ref="BJ21:BK21"/>
    <mergeCell ref="X21:Y21"/>
    <mergeCell ref="Z21:AE21"/>
    <mergeCell ref="AF21:AH21"/>
    <mergeCell ref="AI21:AK21"/>
    <mergeCell ref="AL21:AN21"/>
    <mergeCell ref="AO21:AP21"/>
    <mergeCell ref="BD20:BF20"/>
    <mergeCell ref="BG20:BI20"/>
    <mergeCell ref="BJ20:BK20"/>
    <mergeCell ref="X20:Y20"/>
    <mergeCell ref="Z20:AE20"/>
    <mergeCell ref="AF20:AH20"/>
    <mergeCell ref="AI20:AK20"/>
    <mergeCell ref="AL20:AN20"/>
    <mergeCell ref="AO20:AP20"/>
    <mergeCell ref="C20:D20"/>
    <mergeCell ref="E20:I20"/>
    <mergeCell ref="K20:M20"/>
    <mergeCell ref="N20:P20"/>
    <mergeCell ref="Q20:S20"/>
    <mergeCell ref="T20:U20"/>
    <mergeCell ref="AS19:AT19"/>
    <mergeCell ref="AU19:AZ19"/>
    <mergeCell ref="BA19:BC19"/>
    <mergeCell ref="C19:D19"/>
    <mergeCell ref="E19:J19"/>
    <mergeCell ref="K19:M19"/>
    <mergeCell ref="N19:P19"/>
    <mergeCell ref="Q19:S19"/>
    <mergeCell ref="T19:U19"/>
    <mergeCell ref="AS20:AT20"/>
    <mergeCell ref="AU20:AZ20"/>
    <mergeCell ref="BA20:BC20"/>
    <mergeCell ref="BD19:BF19"/>
    <mergeCell ref="BG19:BI19"/>
    <mergeCell ref="BJ19:BK19"/>
    <mergeCell ref="X19:Y19"/>
    <mergeCell ref="Z19:AE19"/>
    <mergeCell ref="AF19:AH19"/>
    <mergeCell ref="AI19:AK19"/>
    <mergeCell ref="AL19:AN19"/>
    <mergeCell ref="AO19:AP19"/>
    <mergeCell ref="X13:AC13"/>
    <mergeCell ref="AS13:AX13"/>
    <mergeCell ref="X15:AC15"/>
    <mergeCell ref="AS15:AX15"/>
    <mergeCell ref="D17:E17"/>
    <mergeCell ref="Y17:Z17"/>
    <mergeCell ref="AT17:AU17"/>
    <mergeCell ref="B10:U10"/>
    <mergeCell ref="W10:AP10"/>
    <mergeCell ref="AR10:BK10"/>
    <mergeCell ref="B11:T11"/>
    <mergeCell ref="W11:AO11"/>
    <mergeCell ref="AR11:BJ11"/>
  </mergeCells>
  <conditionalFormatting sqref="D17">
    <cfRule type="containsBlanks" dxfId="1" priority="1" stopIfTrue="1">
      <formula>LEN(TRIM(D17))=0</formula>
    </cfRule>
  </conditionalFormatting>
  <conditionalFormatting sqref="T13:T14">
    <cfRule type="containsBlanks" dxfId="0" priority="2" stopIfTrue="1">
      <formula>LEN(TRIM(T13))=0</formula>
    </cfRule>
  </conditionalFormatting>
  <pageMargins left="0.28000000000000003" right="0.19685039370078741" top="0.35433070866141736" bottom="0.25" header="0.31496062992125984" footer="0.31496062992125984"/>
  <pageSetup paperSize="9" scale="8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kawin brothers</dc:creator>
  <cp:lastModifiedBy>kawin brothers</cp:lastModifiedBy>
  <cp:lastPrinted>2026-07-13T08:54:58Z</cp:lastPrinted>
  <dcterms:created xsi:type="dcterms:W3CDTF">2026-07-09T11:03:21Z</dcterms:created>
  <dcterms:modified xsi:type="dcterms:W3CDTF">2026-07-13T08:55:14Z</dcterms:modified>
</cp:coreProperties>
</file>